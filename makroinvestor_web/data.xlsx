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768ATH\Documents\ATH\Makroinvestoren\"/>
    </mc:Choice>
  </mc:AlternateContent>
  <xr:revisionPtr revIDLastSave="0" documentId="13_ncr:1_{EE7F5C51-620F-4F3D-ACB6-D28E6974C5F5}" xr6:coauthVersionLast="47" xr6:coauthVersionMax="47" xr10:uidLastSave="{00000000-0000-0000-0000-000000000000}"/>
  <bookViews>
    <workbookView xWindow="-135" yWindow="-135" windowWidth="29070" windowHeight="15750" activeTab="10" xr2:uid="{00000000-000D-0000-FFFF-FFFF00000000}"/>
  </bookViews>
  <sheets>
    <sheet name="Stock" sheetId="32" r:id="rId1"/>
    <sheet name="Ranglisten DK" sheetId="3" r:id="rId2"/>
    <sheet name="Ranglisten EU" sheetId="5" r:id="rId3"/>
    <sheet name="Ranglisten USA" sheetId="7" r:id="rId4"/>
    <sheet name="Risikoprofiler -&gt; " sheetId="8" state="hidden" r:id="rId5"/>
    <sheet name=" Profil" sheetId="2" state="hidden" r:id="rId6"/>
    <sheet name="Spørgeskema" sheetId="9" state="hidden" r:id="rId7"/>
    <sheet name="Profiler" sheetId="10" state="hidden" r:id="rId8"/>
    <sheet name="Markoscore -&gt;" sheetId="11" r:id="rId9"/>
    <sheet name="Fremtid vækst" sheetId="12" r:id="rId10"/>
    <sheet name="Makro analyse" sheetId="13" r:id="rId11"/>
    <sheet name="Makro analyse (historisk)" sheetId="31" state="hidden" r:id="rId12"/>
    <sheet name="BNP" sheetId="15" state="hidden" r:id="rId13"/>
    <sheet name="Makrodata -&gt;" sheetId="14" state="hidden" r:id="rId14"/>
    <sheet name="PMI" sheetId="16" state="hidden" r:id="rId15"/>
    <sheet name="10 yr rate" sheetId="17" state="hidden" r:id="rId16"/>
    <sheet name="CPI(Inflation)" sheetId="18" state="hidden" r:id="rId17"/>
    <sheet name="Arbejdsløshed" sheetId="19" state="hidden" r:id="rId18"/>
    <sheet name="Baltic Dry Index" sheetId="20" state="hidden" r:id="rId19"/>
    <sheet name="VIX" sheetId="21" state="hidden" r:id="rId20"/>
    <sheet name="Currency" sheetId="22" state="hidden" r:id="rId21"/>
    <sheet name="Unemployment" sheetId="23" state="hidden" r:id="rId22"/>
    <sheet name="Aktieliste -&gt;" sheetId="24" r:id="rId23"/>
    <sheet name="ETF - Liste" sheetId="25" r:id="rId24"/>
    <sheet name="Aktieliste DK" sheetId="26" r:id="rId25"/>
    <sheet name="Aktieliste EU" sheetId="27" r:id="rId26"/>
    <sheet name="Aktieliste USA" sheetId="28" r:id="rId27"/>
    <sheet name="Afstemning til Virkelighed" sheetId="29" r:id="rId28"/>
  </sheets>
  <definedNames>
    <definedName name="_xlnm._FilterDatabase" localSheetId="27" hidden="1">'Afstemning til Virkelighed'!$A$1:$D$12</definedName>
    <definedName name="_xlnm._FilterDatabase" localSheetId="24" hidden="1">'Aktieliste DK'!$A$1:$G$25</definedName>
    <definedName name="_xlnm._FilterDatabase" localSheetId="25" hidden="1">'Aktieliste EU'!$A$1:$H$46</definedName>
    <definedName name="_xlnm._FilterDatabase" localSheetId="26" hidden="1">'Aktieliste USA'!$A$1:$J$51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1" i="13" l="1"/>
  <c r="T40" i="13"/>
  <c r="T39" i="13"/>
  <c r="T38" i="13"/>
  <c r="T37" i="13"/>
  <c r="T36" i="13"/>
  <c r="T35" i="13"/>
  <c r="T34" i="13"/>
  <c r="T33" i="13"/>
  <c r="T32" i="13"/>
  <c r="T31" i="13"/>
  <c r="K41" i="13"/>
  <c r="K40" i="13"/>
  <c r="K39" i="13"/>
  <c r="K38" i="13"/>
  <c r="K37" i="13"/>
  <c r="K36" i="13"/>
  <c r="K35" i="13"/>
  <c r="K34" i="13"/>
  <c r="K33" i="13"/>
  <c r="K32" i="13"/>
  <c r="K31" i="13"/>
  <c r="T81" i="13"/>
  <c r="T80" i="13"/>
  <c r="T79" i="13"/>
  <c r="T78" i="13"/>
  <c r="T77" i="13"/>
  <c r="T76" i="13"/>
  <c r="T75" i="13"/>
  <c r="T74" i="13"/>
  <c r="T73" i="13"/>
  <c r="T72" i="13"/>
  <c r="T71" i="13"/>
  <c r="K81" i="13"/>
  <c r="K80" i="13"/>
  <c r="K79" i="13"/>
  <c r="K78" i="13"/>
  <c r="K77" i="13"/>
  <c r="K76" i="13"/>
  <c r="K75" i="13"/>
  <c r="K74" i="13"/>
  <c r="K73" i="13"/>
  <c r="K72" i="13"/>
  <c r="K71" i="13"/>
  <c r="T121" i="13"/>
  <c r="T120" i="13"/>
  <c r="T119" i="13"/>
  <c r="T118" i="13"/>
  <c r="T117" i="13"/>
  <c r="T116" i="13"/>
  <c r="T115" i="13"/>
  <c r="T114" i="13"/>
  <c r="T113" i="13"/>
  <c r="T112" i="13"/>
  <c r="T111" i="13"/>
  <c r="K111" i="13"/>
  <c r="K121" i="13"/>
  <c r="K120" i="13"/>
  <c r="K119" i="13"/>
  <c r="K118" i="13"/>
  <c r="K117" i="13"/>
  <c r="K116" i="13"/>
  <c r="K115" i="13"/>
  <c r="K114" i="13"/>
  <c r="K113" i="13"/>
  <c r="K112" i="13"/>
  <c r="B52" i="28" a="1"/>
  <c r="B52" i="28" s="1"/>
  <c r="C52" i="28" a="1"/>
  <c r="C52" i="28" s="1"/>
  <c r="D52" i="28" a="1"/>
  <c r="D52" i="28" s="1"/>
  <c r="E52" i="28" a="1"/>
  <c r="E52" i="28" s="1"/>
  <c r="G52" i="28" a="1"/>
  <c r="G52" i="28" s="1"/>
  <c r="H52" i="28" a="1"/>
  <c r="H52" i="28" s="1"/>
  <c r="I52" i="28" a="1"/>
  <c r="I52" i="28" s="1"/>
  <c r="J52" i="28" a="1"/>
  <c r="J52" i="28" s="1"/>
  <c r="J13" i="32"/>
  <c r="I13" i="32"/>
  <c r="H13" i="32"/>
  <c r="G13" i="32"/>
  <c r="K2" i="26"/>
  <c r="I25" i="26" a="1"/>
  <c r="I25" i="26" s="1"/>
  <c r="I24" i="26" a="1"/>
  <c r="I24" i="26" s="1"/>
  <c r="I23" i="26" a="1"/>
  <c r="I23" i="26" s="1"/>
  <c r="I22" i="26" a="1"/>
  <c r="I22" i="26" s="1"/>
  <c r="I21" i="26" a="1"/>
  <c r="I21" i="26" s="1"/>
  <c r="I20" i="26" a="1"/>
  <c r="I20" i="26" s="1"/>
  <c r="I19" i="26" a="1"/>
  <c r="I19" i="26" s="1"/>
  <c r="I18" i="26" a="1"/>
  <c r="I18" i="26" s="1"/>
  <c r="I17" i="26" a="1"/>
  <c r="I17" i="26" s="1"/>
  <c r="I16" i="26" a="1"/>
  <c r="I16" i="26" s="1"/>
  <c r="I15" i="26" a="1"/>
  <c r="I15" i="26" s="1"/>
  <c r="I14" i="26" a="1"/>
  <c r="I14" i="26" s="1"/>
  <c r="I13" i="26" a="1"/>
  <c r="I13" i="26" s="1"/>
  <c r="I12" i="26" a="1"/>
  <c r="I12" i="26" s="1"/>
  <c r="I11" i="26" a="1"/>
  <c r="I11" i="26" s="1"/>
  <c r="I10" i="26" a="1"/>
  <c r="I10" i="26" s="1"/>
  <c r="I9" i="26" a="1"/>
  <c r="I9" i="26" s="1"/>
  <c r="I8" i="26" a="1"/>
  <c r="I8" i="26" s="1"/>
  <c r="I7" i="26" a="1"/>
  <c r="I7" i="26" s="1"/>
  <c r="I6" i="26" a="1"/>
  <c r="I6" i="26" s="1"/>
  <c r="I5" i="26" a="1"/>
  <c r="I5" i="26" s="1"/>
  <c r="I4" i="26" a="1"/>
  <c r="I4" i="26" s="1"/>
  <c r="I3" i="26" a="1"/>
  <c r="I3" i="26" s="1"/>
  <c r="I2" i="26" a="1"/>
  <c r="I2" i="26" s="1"/>
  <c r="I46" i="27" a="1"/>
  <c r="I46" i="27" s="1"/>
  <c r="I45" i="27" a="1"/>
  <c r="I45" i="27" s="1"/>
  <c r="I44" i="27" a="1"/>
  <c r="I44" i="27" s="1"/>
  <c r="I43" i="27" a="1"/>
  <c r="I43" i="27" s="1"/>
  <c r="I42" i="27" a="1"/>
  <c r="I42" i="27" s="1"/>
  <c r="I41" i="27" a="1"/>
  <c r="I41" i="27" s="1"/>
  <c r="I40" i="27" a="1"/>
  <c r="I40" i="27" s="1"/>
  <c r="I39" i="27" a="1"/>
  <c r="I39" i="27" s="1"/>
  <c r="I38" i="27" a="1"/>
  <c r="I38" i="27" s="1"/>
  <c r="I37" i="27" a="1"/>
  <c r="I37" i="27" s="1"/>
  <c r="I36" i="27" a="1"/>
  <c r="I36" i="27" s="1"/>
  <c r="I35" i="27" a="1"/>
  <c r="I35" i="27" s="1"/>
  <c r="I34" i="27" a="1"/>
  <c r="I34" i="27" s="1"/>
  <c r="I33" i="27" a="1"/>
  <c r="I33" i="27" s="1"/>
  <c r="I32" i="27" a="1"/>
  <c r="I32" i="27" s="1"/>
  <c r="I31" i="27" a="1"/>
  <c r="I31" i="27" s="1"/>
  <c r="I30" i="27" a="1"/>
  <c r="I30" i="27" s="1"/>
  <c r="I29" i="27" a="1"/>
  <c r="I29" i="27" s="1"/>
  <c r="I28" i="27" a="1"/>
  <c r="I28" i="27" s="1"/>
  <c r="I27" i="27" a="1"/>
  <c r="I27" i="27" s="1"/>
  <c r="I26" i="27" a="1"/>
  <c r="I26" i="27" s="1"/>
  <c r="I25" i="27" a="1"/>
  <c r="I25" i="27" s="1"/>
  <c r="I24" i="27" a="1"/>
  <c r="I24" i="27" s="1"/>
  <c r="I23" i="27" a="1"/>
  <c r="I23" i="27" s="1"/>
  <c r="I22" i="27" a="1"/>
  <c r="I22" i="27" s="1"/>
  <c r="I21" i="27" a="1"/>
  <c r="I21" i="27" s="1"/>
  <c r="I20" i="27" a="1"/>
  <c r="I20" i="27" s="1"/>
  <c r="I19" i="27" a="1"/>
  <c r="I19" i="27" s="1"/>
  <c r="I18" i="27" a="1"/>
  <c r="I18" i="27" s="1"/>
  <c r="I17" i="27" a="1"/>
  <c r="I17" i="27" s="1"/>
  <c r="I16" i="27" a="1"/>
  <c r="I16" i="27" s="1"/>
  <c r="I15" i="27" a="1"/>
  <c r="I15" i="27" s="1"/>
  <c r="I14" i="27" a="1"/>
  <c r="I14" i="27" s="1"/>
  <c r="I13" i="27" a="1"/>
  <c r="I13" i="27" s="1"/>
  <c r="I12" i="27" a="1"/>
  <c r="I12" i="27" s="1"/>
  <c r="I11" i="27" a="1"/>
  <c r="I11" i="27" s="1"/>
  <c r="I10" i="27" a="1"/>
  <c r="I10" i="27" s="1"/>
  <c r="I9" i="27" a="1"/>
  <c r="I9" i="27" s="1"/>
  <c r="I8" i="27" a="1"/>
  <c r="I8" i="27" s="1"/>
  <c r="I7" i="27" a="1"/>
  <c r="I7" i="27" s="1"/>
  <c r="I6" i="27" a="1"/>
  <c r="I6" i="27" s="1"/>
  <c r="I5" i="27" a="1"/>
  <c r="I5" i="27" s="1"/>
  <c r="I4" i="27" a="1"/>
  <c r="I4" i="27" s="1"/>
  <c r="I3" i="27" a="1"/>
  <c r="I3" i="27" s="1"/>
  <c r="I2" i="27" a="1"/>
  <c r="I2" i="27" s="1"/>
  <c r="I1" i="27"/>
  <c r="J25" i="28" a="1"/>
  <c r="J25" i="28" s="1"/>
  <c r="J21" i="28" a="1"/>
  <c r="J21" i="28" s="1"/>
  <c r="J11" i="28" a="1"/>
  <c r="J11" i="28" s="1"/>
  <c r="J22" i="28" a="1"/>
  <c r="J22" i="28" s="1"/>
  <c r="J23" i="28" a="1"/>
  <c r="J23" i="28" s="1"/>
  <c r="J15" i="28" a="1"/>
  <c r="J15" i="28" s="1"/>
  <c r="J18" i="28" a="1"/>
  <c r="J18" i="28" s="1"/>
  <c r="J3" i="28" a="1"/>
  <c r="J3" i="28" s="1"/>
  <c r="J36" i="28" a="1"/>
  <c r="J36" i="28" s="1"/>
  <c r="J28" i="28" a="1"/>
  <c r="J28" i="28" s="1"/>
  <c r="J38" i="28" a="1"/>
  <c r="J38" i="28" s="1"/>
  <c r="J34" i="28" a="1"/>
  <c r="J34" i="28" s="1"/>
  <c r="J5" i="28" a="1"/>
  <c r="J5" i="28" s="1"/>
  <c r="J45" i="28" a="1"/>
  <c r="J45" i="28" s="1"/>
  <c r="J4" i="28" a="1"/>
  <c r="J4" i="28" s="1"/>
  <c r="J33" i="28" a="1"/>
  <c r="J33" i="28" s="1"/>
  <c r="J46" i="28" a="1"/>
  <c r="J46" i="28" s="1"/>
  <c r="J29" i="28" a="1"/>
  <c r="J29" i="28" s="1"/>
  <c r="J7" i="28" a="1"/>
  <c r="J7" i="28" s="1"/>
  <c r="J49" i="28" a="1"/>
  <c r="J49" i="28" s="1"/>
  <c r="J41" i="28" a="1"/>
  <c r="J41" i="28" s="1"/>
  <c r="J48" i="28" a="1"/>
  <c r="J48" i="28" s="1"/>
  <c r="J44" i="28" a="1"/>
  <c r="J44" i="28" s="1"/>
  <c r="J32" i="28" a="1"/>
  <c r="J32" i="28" s="1"/>
  <c r="J35" i="28" a="1"/>
  <c r="J35" i="28" s="1"/>
  <c r="J39" i="28" a="1"/>
  <c r="J39" i="28" s="1"/>
  <c r="J37" i="28" a="1"/>
  <c r="J37" i="28" s="1"/>
  <c r="J51" i="28" a="1"/>
  <c r="J51" i="28" s="1"/>
  <c r="J26" i="28" a="1"/>
  <c r="J26" i="28" s="1"/>
  <c r="J24" i="28" a="1"/>
  <c r="J24" i="28" s="1"/>
  <c r="J12" i="28" a="1"/>
  <c r="J12" i="28" s="1"/>
  <c r="J43" i="28" a="1"/>
  <c r="J43" i="28" s="1"/>
  <c r="J27" i="28" a="1"/>
  <c r="J27" i="28" s="1"/>
  <c r="J8" i="28" a="1"/>
  <c r="J8" i="28" s="1"/>
  <c r="J16" i="28" a="1"/>
  <c r="J16" i="28" s="1"/>
  <c r="J14" i="28" a="1"/>
  <c r="J14" i="28" s="1"/>
  <c r="J50" i="28" a="1"/>
  <c r="J50" i="28" s="1"/>
  <c r="J42" i="28" a="1"/>
  <c r="J42" i="28" s="1"/>
  <c r="J19" i="28" a="1"/>
  <c r="J19" i="28" s="1"/>
  <c r="J30" i="28" a="1"/>
  <c r="J30" i="28" s="1"/>
  <c r="J40" i="28" a="1"/>
  <c r="J40" i="28" s="1"/>
  <c r="J6" i="28" a="1"/>
  <c r="J6" i="28" s="1"/>
  <c r="J31" i="28" a="1"/>
  <c r="J31" i="28" s="1"/>
  <c r="J13" i="28" a="1"/>
  <c r="J13" i="28" s="1"/>
  <c r="J47" i="28" a="1"/>
  <c r="J47" i="28" s="1"/>
  <c r="J17" i="28" a="1"/>
  <c r="J17" i="28" s="1"/>
  <c r="J20" i="28" a="1"/>
  <c r="J20" i="28" s="1"/>
  <c r="J10" i="28" a="1"/>
  <c r="J10" i="28" s="1"/>
  <c r="J9" i="28" a="1"/>
  <c r="J9" i="28" s="1"/>
  <c r="J2" i="28" a="1"/>
  <c r="J2" i="28" s="1"/>
  <c r="I25" i="28" a="1"/>
  <c r="I25" i="28" s="1"/>
  <c r="I21" i="28" a="1"/>
  <c r="I21" i="28" s="1"/>
  <c r="I11" i="28" a="1"/>
  <c r="I11" i="28" s="1"/>
  <c r="I22" i="28" a="1"/>
  <c r="I22" i="28" s="1"/>
  <c r="I23" i="28" a="1"/>
  <c r="I23" i="28" s="1"/>
  <c r="I15" i="28" a="1"/>
  <c r="I15" i="28" s="1"/>
  <c r="I18" i="28" a="1"/>
  <c r="I18" i="28" s="1"/>
  <c r="I3" i="28" a="1"/>
  <c r="I3" i="28" s="1"/>
  <c r="I36" i="28" a="1"/>
  <c r="I36" i="28" s="1"/>
  <c r="I28" i="28" a="1"/>
  <c r="I28" i="28" s="1"/>
  <c r="I38" i="28" a="1"/>
  <c r="I38" i="28" s="1"/>
  <c r="I34" i="28" a="1"/>
  <c r="I34" i="28" s="1"/>
  <c r="I5" i="28" a="1"/>
  <c r="I5" i="28" s="1"/>
  <c r="I45" i="28" a="1"/>
  <c r="I45" i="28" s="1"/>
  <c r="I4" i="28" a="1"/>
  <c r="I4" i="28" s="1"/>
  <c r="I33" i="28" a="1"/>
  <c r="I33" i="28" s="1"/>
  <c r="I46" i="28" a="1"/>
  <c r="I46" i="28" s="1"/>
  <c r="I29" i="28" a="1"/>
  <c r="I29" i="28" s="1"/>
  <c r="I7" i="28" a="1"/>
  <c r="I7" i="28" s="1"/>
  <c r="I49" i="28" a="1"/>
  <c r="I49" i="28" s="1"/>
  <c r="I41" i="28" a="1"/>
  <c r="I41" i="28" s="1"/>
  <c r="I48" i="28" a="1"/>
  <c r="I48" i="28" s="1"/>
  <c r="I44" i="28" a="1"/>
  <c r="I44" i="28" s="1"/>
  <c r="I32" i="28" a="1"/>
  <c r="I32" i="28" s="1"/>
  <c r="I35" i="28" a="1"/>
  <c r="I35" i="28" s="1"/>
  <c r="I39" i="28" a="1"/>
  <c r="I39" i="28" s="1"/>
  <c r="I37" i="28" a="1"/>
  <c r="I37" i="28" s="1"/>
  <c r="I51" i="28" a="1"/>
  <c r="I51" i="28" s="1"/>
  <c r="I26" i="28" a="1"/>
  <c r="I26" i="28" s="1"/>
  <c r="I24" i="28" a="1"/>
  <c r="I24" i="28" s="1"/>
  <c r="I12" i="28" a="1"/>
  <c r="I12" i="28" s="1"/>
  <c r="I43" i="28" a="1"/>
  <c r="I43" i="28" s="1"/>
  <c r="I27" i="28" a="1"/>
  <c r="I27" i="28" s="1"/>
  <c r="I8" i="28" a="1"/>
  <c r="I8" i="28" s="1"/>
  <c r="I16" i="28" a="1"/>
  <c r="I16" i="28" s="1"/>
  <c r="I14" i="28" a="1"/>
  <c r="I14" i="28" s="1"/>
  <c r="I50" i="28" a="1"/>
  <c r="I50" i="28" s="1"/>
  <c r="I42" i="28" a="1"/>
  <c r="I42" i="28" s="1"/>
  <c r="I19" i="28" a="1"/>
  <c r="I19" i="28" s="1"/>
  <c r="I30" i="28" a="1"/>
  <c r="I30" i="28" s="1"/>
  <c r="I40" i="28" a="1"/>
  <c r="I40" i="28" s="1"/>
  <c r="I6" i="28" a="1"/>
  <c r="I6" i="28" s="1"/>
  <c r="I31" i="28" a="1"/>
  <c r="I31" i="28" s="1"/>
  <c r="I13" i="28" a="1"/>
  <c r="I13" i="28" s="1"/>
  <c r="I47" i="28" a="1"/>
  <c r="I47" i="28" s="1"/>
  <c r="I17" i="28" a="1"/>
  <c r="I17" i="28" s="1"/>
  <c r="I20" i="28" a="1"/>
  <c r="I20" i="28" s="1"/>
  <c r="I10" i="28" a="1"/>
  <c r="I10" i="28" s="1"/>
  <c r="I9" i="28" a="1"/>
  <c r="I9" i="28" s="1"/>
  <c r="I2" i="28" a="1"/>
  <c r="I2" i="28" s="1"/>
  <c r="S121" i="13"/>
  <c r="F10" i="32"/>
  <c r="F15" i="32" s="1"/>
  <c r="F9" i="32"/>
  <c r="F14" i="32" s="1"/>
  <c r="D19" i="18"/>
  <c r="E19" i="18" s="1"/>
  <c r="T29" i="13"/>
  <c r="E1" i="3" s="1"/>
  <c r="B29" i="3" s="1"/>
  <c r="K29" i="13"/>
  <c r="D1" i="3" s="1"/>
  <c r="B15" i="3" s="1"/>
  <c r="T69" i="13"/>
  <c r="E1" i="5" s="1"/>
  <c r="B29" i="5" s="1"/>
  <c r="K69" i="13"/>
  <c r="D1" i="5" s="1"/>
  <c r="B15" i="5" s="1"/>
  <c r="K109" i="13"/>
  <c r="E1" i="7" s="1"/>
  <c r="B15" i="7" s="1"/>
  <c r="T109" i="13"/>
  <c r="F1" i="7"/>
  <c r="B31" i="7" s="1"/>
  <c r="AT121" i="31"/>
  <c r="AK121" i="31"/>
  <c r="AE121" i="31"/>
  <c r="AD121" i="31"/>
  <c r="AB121" i="31"/>
  <c r="AA121" i="31"/>
  <c r="Z121" i="31"/>
  <c r="Y121" i="31"/>
  <c r="X121" i="31"/>
  <c r="W121" i="31"/>
  <c r="U121" i="31"/>
  <c r="T121" i="31"/>
  <c r="S121" i="31"/>
  <c r="R121" i="31"/>
  <c r="V121" i="31" s="1"/>
  <c r="P121" i="31"/>
  <c r="O121" i="31"/>
  <c r="Q121" i="31" s="1"/>
  <c r="N121" i="31"/>
  <c r="M121" i="31"/>
  <c r="K121" i="31"/>
  <c r="J121" i="31"/>
  <c r="I121" i="31"/>
  <c r="H121" i="31"/>
  <c r="L121" i="31" s="1"/>
  <c r="F121" i="31"/>
  <c r="E121" i="31"/>
  <c r="D121" i="31"/>
  <c r="C121" i="31"/>
  <c r="G121" i="31" s="1"/>
  <c r="AT120" i="31"/>
  <c r="AK120" i="31"/>
  <c r="AE120" i="31"/>
  <c r="AD120" i="31"/>
  <c r="AB120" i="31"/>
  <c r="AA120" i="31"/>
  <c r="Z120" i="31"/>
  <c r="Y120" i="31"/>
  <c r="X120" i="31"/>
  <c r="W120" i="31"/>
  <c r="U120" i="31"/>
  <c r="T120" i="31"/>
  <c r="S120" i="31"/>
  <c r="R120" i="31"/>
  <c r="V120" i="31" s="1"/>
  <c r="P120" i="31"/>
  <c r="O120" i="31"/>
  <c r="Q120" i="31" s="1"/>
  <c r="N120" i="31"/>
  <c r="M120" i="31"/>
  <c r="K120" i="31"/>
  <c r="J120" i="31"/>
  <c r="I120" i="31"/>
  <c r="H120" i="31"/>
  <c r="L120" i="31" s="1"/>
  <c r="F120" i="31"/>
  <c r="E120" i="31"/>
  <c r="D120" i="31"/>
  <c r="C120" i="31"/>
  <c r="G120" i="31" s="1"/>
  <c r="AT119" i="31"/>
  <c r="AK119" i="31"/>
  <c r="AE119" i="31"/>
  <c r="AD119" i="31"/>
  <c r="AB119" i="31"/>
  <c r="AA119" i="31"/>
  <c r="Z119" i="31"/>
  <c r="Y119" i="31"/>
  <c r="X119" i="31"/>
  <c r="W119" i="31"/>
  <c r="U119" i="31"/>
  <c r="T119" i="31"/>
  <c r="S119" i="31"/>
  <c r="R119" i="31"/>
  <c r="V119" i="31" s="1"/>
  <c r="P119" i="31"/>
  <c r="O119" i="31"/>
  <c r="Q119" i="31" s="1"/>
  <c r="N119" i="31"/>
  <c r="M119" i="31"/>
  <c r="K119" i="31"/>
  <c r="J119" i="31"/>
  <c r="I119" i="31"/>
  <c r="H119" i="31"/>
  <c r="L119" i="31" s="1"/>
  <c r="F119" i="31"/>
  <c r="E119" i="31"/>
  <c r="D119" i="31"/>
  <c r="C119" i="31"/>
  <c r="G119" i="31" s="1"/>
  <c r="AT118" i="31"/>
  <c r="AK118" i="31"/>
  <c r="AE118" i="31"/>
  <c r="AD118" i="31"/>
  <c r="AB118" i="31"/>
  <c r="AA118" i="31"/>
  <c r="Z118" i="31"/>
  <c r="Y118" i="31"/>
  <c r="X118" i="31"/>
  <c r="W118" i="31"/>
  <c r="U118" i="31"/>
  <c r="T118" i="31"/>
  <c r="S118" i="31"/>
  <c r="R118" i="31"/>
  <c r="V118" i="31" s="1"/>
  <c r="P118" i="31"/>
  <c r="O118" i="31"/>
  <c r="Q118" i="31" s="1"/>
  <c r="N118" i="31"/>
  <c r="M118" i="31"/>
  <c r="K118" i="31"/>
  <c r="J118" i="31"/>
  <c r="I118" i="31"/>
  <c r="H118" i="31"/>
  <c r="L118" i="31" s="1"/>
  <c r="F118" i="31"/>
  <c r="E118" i="31"/>
  <c r="D118" i="31"/>
  <c r="C118" i="31"/>
  <c r="G118" i="31" s="1"/>
  <c r="AT117" i="31"/>
  <c r="AK117" i="31"/>
  <c r="AE117" i="31"/>
  <c r="AD117" i="31"/>
  <c r="AB117" i="31"/>
  <c r="AA117" i="31"/>
  <c r="Z117" i="31"/>
  <c r="Y117" i="31"/>
  <c r="X117" i="31"/>
  <c r="W117" i="31"/>
  <c r="U117" i="31"/>
  <c r="T117" i="31"/>
  <c r="S117" i="31"/>
  <c r="R117" i="31"/>
  <c r="V117" i="31" s="1"/>
  <c r="P117" i="31"/>
  <c r="O117" i="31"/>
  <c r="Q117" i="31" s="1"/>
  <c r="N117" i="31"/>
  <c r="M117" i="31"/>
  <c r="K117" i="31"/>
  <c r="J117" i="31"/>
  <c r="I117" i="31"/>
  <c r="H117" i="31"/>
  <c r="L117" i="31" s="1"/>
  <c r="F117" i="31"/>
  <c r="E117" i="31"/>
  <c r="D117" i="31"/>
  <c r="C117" i="31"/>
  <c r="G117" i="31" s="1"/>
  <c r="AT116" i="31"/>
  <c r="AK116" i="31"/>
  <c r="AE116" i="31"/>
  <c r="AD116" i="31"/>
  <c r="AB116" i="31"/>
  <c r="AA116" i="31"/>
  <c r="Z116" i="31"/>
  <c r="Y116" i="31"/>
  <c r="X116" i="31"/>
  <c r="W116" i="31"/>
  <c r="U116" i="31"/>
  <c r="T116" i="31"/>
  <c r="S116" i="31"/>
  <c r="R116" i="31"/>
  <c r="V116" i="31" s="1"/>
  <c r="P116" i="31"/>
  <c r="O116" i="31"/>
  <c r="Q116" i="31" s="1"/>
  <c r="N116" i="31"/>
  <c r="M116" i="31"/>
  <c r="K116" i="31"/>
  <c r="J116" i="31"/>
  <c r="I116" i="31"/>
  <c r="H116" i="31"/>
  <c r="L116" i="31" s="1"/>
  <c r="F116" i="31"/>
  <c r="E116" i="31"/>
  <c r="D116" i="31"/>
  <c r="C116" i="31"/>
  <c r="G116" i="31" s="1"/>
  <c r="AT115" i="31"/>
  <c r="AK115" i="31"/>
  <c r="AE115" i="31"/>
  <c r="AD115" i="31"/>
  <c r="AB115" i="31"/>
  <c r="AA115" i="31"/>
  <c r="Z115" i="31"/>
  <c r="Y115" i="31"/>
  <c r="X115" i="31"/>
  <c r="W115" i="31"/>
  <c r="U115" i="31"/>
  <c r="T115" i="31"/>
  <c r="S115" i="31"/>
  <c r="R115" i="31"/>
  <c r="V115" i="31" s="1"/>
  <c r="P115" i="31"/>
  <c r="O115" i="31"/>
  <c r="Q115" i="31" s="1"/>
  <c r="N115" i="31"/>
  <c r="M115" i="31"/>
  <c r="K115" i="31"/>
  <c r="J115" i="31"/>
  <c r="I115" i="31"/>
  <c r="H115" i="31"/>
  <c r="L115" i="31" s="1"/>
  <c r="F115" i="31"/>
  <c r="E115" i="31"/>
  <c r="D115" i="31"/>
  <c r="C115" i="31"/>
  <c r="G115" i="31" s="1"/>
  <c r="AT114" i="31"/>
  <c r="AK114" i="31"/>
  <c r="AE114" i="31"/>
  <c r="AD114" i="31"/>
  <c r="AB114" i="31"/>
  <c r="AA114" i="31"/>
  <c r="Z114" i="31"/>
  <c r="Y114" i="31"/>
  <c r="X114" i="31"/>
  <c r="W114" i="31"/>
  <c r="U114" i="31"/>
  <c r="T114" i="31"/>
  <c r="S114" i="31"/>
  <c r="R114" i="31"/>
  <c r="V114" i="31" s="1"/>
  <c r="P114" i="31"/>
  <c r="O114" i="31"/>
  <c r="Q114" i="31" s="1"/>
  <c r="N114" i="31"/>
  <c r="M114" i="31"/>
  <c r="K114" i="31"/>
  <c r="J114" i="31"/>
  <c r="I114" i="31"/>
  <c r="H114" i="31"/>
  <c r="L114" i="31" s="1"/>
  <c r="F114" i="31"/>
  <c r="E114" i="31"/>
  <c r="D114" i="31"/>
  <c r="C114" i="31"/>
  <c r="G114" i="31" s="1"/>
  <c r="AT113" i="31"/>
  <c r="AK113" i="31"/>
  <c r="AE113" i="31"/>
  <c r="AD113" i="31"/>
  <c r="AB113" i="31"/>
  <c r="AA113" i="31"/>
  <c r="Z113" i="31"/>
  <c r="Y113" i="31"/>
  <c r="X113" i="31"/>
  <c r="W113" i="31"/>
  <c r="U113" i="31"/>
  <c r="T113" i="31"/>
  <c r="S113" i="31"/>
  <c r="R113" i="31"/>
  <c r="V113" i="31" s="1"/>
  <c r="P113" i="31"/>
  <c r="O113" i="31"/>
  <c r="Q113" i="31" s="1"/>
  <c r="N113" i="31"/>
  <c r="M113" i="31"/>
  <c r="K113" i="31"/>
  <c r="J113" i="31"/>
  <c r="I113" i="31"/>
  <c r="H113" i="31"/>
  <c r="L113" i="31" s="1"/>
  <c r="F113" i="31"/>
  <c r="E113" i="31"/>
  <c r="D113" i="31"/>
  <c r="C113" i="31"/>
  <c r="G113" i="31" s="1"/>
  <c r="AT112" i="31"/>
  <c r="AK112" i="31"/>
  <c r="AE112" i="31"/>
  <c r="AD112" i="31"/>
  <c r="AB112" i="31"/>
  <c r="AA112" i="31"/>
  <c r="Z112" i="31"/>
  <c r="Y112" i="31"/>
  <c r="X112" i="31"/>
  <c r="W112" i="31"/>
  <c r="U112" i="31"/>
  <c r="T112" i="31"/>
  <c r="S112" i="31"/>
  <c r="R112" i="31"/>
  <c r="V112" i="31" s="1"/>
  <c r="P112" i="31"/>
  <c r="O112" i="31"/>
  <c r="Q112" i="31" s="1"/>
  <c r="N112" i="31"/>
  <c r="M112" i="31"/>
  <c r="K112" i="31"/>
  <c r="J112" i="31"/>
  <c r="I112" i="31"/>
  <c r="H112" i="31"/>
  <c r="L112" i="31" s="1"/>
  <c r="F112" i="31"/>
  <c r="E112" i="31"/>
  <c r="D112" i="31"/>
  <c r="C112" i="31"/>
  <c r="G112" i="31" s="1"/>
  <c r="AT111" i="31"/>
  <c r="AK111" i="31"/>
  <c r="AE111" i="31"/>
  <c r="AD111" i="31"/>
  <c r="AB111" i="31"/>
  <c r="AA111" i="31"/>
  <c r="Z111" i="31"/>
  <c r="Y111" i="31"/>
  <c r="X111" i="31"/>
  <c r="W111" i="31"/>
  <c r="U111" i="31"/>
  <c r="T111" i="31"/>
  <c r="S111" i="31"/>
  <c r="R111" i="31"/>
  <c r="V111" i="31" s="1"/>
  <c r="P111" i="31"/>
  <c r="O111" i="31"/>
  <c r="Q111" i="31" s="1"/>
  <c r="N111" i="31"/>
  <c r="M111" i="31"/>
  <c r="K111" i="31"/>
  <c r="J111" i="31"/>
  <c r="I111" i="31"/>
  <c r="H111" i="31"/>
  <c r="L111" i="31" s="1"/>
  <c r="F111" i="31"/>
  <c r="E111" i="31"/>
  <c r="D111" i="31"/>
  <c r="C111" i="31"/>
  <c r="G111" i="31" s="1"/>
  <c r="AX109" i="31"/>
  <c r="AO109" i="31"/>
  <c r="AT81" i="31"/>
  <c r="AK81" i="31"/>
  <c r="AJ81" i="31"/>
  <c r="AE81" i="31"/>
  <c r="AD81" i="31"/>
  <c r="AB81" i="31"/>
  <c r="Z81" i="31"/>
  <c r="Y81" i="31"/>
  <c r="X81" i="31"/>
  <c r="W81" i="31"/>
  <c r="AA81" i="31" s="1"/>
  <c r="U81" i="31"/>
  <c r="T81" i="31"/>
  <c r="S81" i="31"/>
  <c r="R81" i="31"/>
  <c r="V81" i="31" s="1"/>
  <c r="Q81" i="31"/>
  <c r="P81" i="31"/>
  <c r="O81" i="31"/>
  <c r="N81" i="31"/>
  <c r="M81" i="31"/>
  <c r="K81" i="31"/>
  <c r="J81" i="31"/>
  <c r="I81" i="31"/>
  <c r="H81" i="31"/>
  <c r="L81" i="31" s="1"/>
  <c r="F81" i="31"/>
  <c r="E81" i="31"/>
  <c r="G81" i="31" s="1"/>
  <c r="D81" i="31"/>
  <c r="C81" i="31"/>
  <c r="AT80" i="31"/>
  <c r="AK80" i="31"/>
  <c r="AJ80" i="31"/>
  <c r="AE80" i="31"/>
  <c r="AD80" i="31"/>
  <c r="AB80" i="31"/>
  <c r="Z80" i="31"/>
  <c r="Y80" i="31"/>
  <c r="X80" i="31"/>
  <c r="W80" i="31"/>
  <c r="AA80" i="31" s="1"/>
  <c r="U80" i="31"/>
  <c r="T80" i="31"/>
  <c r="S80" i="31"/>
  <c r="R80" i="31"/>
  <c r="V80" i="31" s="1"/>
  <c r="Q80" i="31"/>
  <c r="P80" i="31"/>
  <c r="O80" i="31"/>
  <c r="N80" i="31"/>
  <c r="M80" i="31"/>
  <c r="K80" i="31"/>
  <c r="J80" i="31"/>
  <c r="I80" i="31"/>
  <c r="H80" i="31"/>
  <c r="L80" i="31" s="1"/>
  <c r="F80" i="31"/>
  <c r="E80" i="31"/>
  <c r="G80" i="31" s="1"/>
  <c r="D80" i="31"/>
  <c r="C80" i="31"/>
  <c r="AT79" i="31"/>
  <c r="AK79" i="31"/>
  <c r="AJ79" i="31"/>
  <c r="AE79" i="31"/>
  <c r="AD79" i="31"/>
  <c r="AB79" i="31"/>
  <c r="Z79" i="31"/>
  <c r="Y79" i="31"/>
  <c r="X79" i="31"/>
  <c r="W79" i="31"/>
  <c r="AA79" i="31" s="1"/>
  <c r="U79" i="31"/>
  <c r="T79" i="31"/>
  <c r="S79" i="31"/>
  <c r="R79" i="31"/>
  <c r="V79" i="31" s="1"/>
  <c r="Q79" i="31"/>
  <c r="P79" i="31"/>
  <c r="O79" i="31"/>
  <c r="N79" i="31"/>
  <c r="M79" i="31"/>
  <c r="K79" i="31"/>
  <c r="J79" i="31"/>
  <c r="I79" i="31"/>
  <c r="H79" i="31"/>
  <c r="L79" i="31" s="1"/>
  <c r="F79" i="31"/>
  <c r="E79" i="31"/>
  <c r="G79" i="31" s="1"/>
  <c r="D79" i="31"/>
  <c r="C79" i="31"/>
  <c r="AT78" i="31"/>
  <c r="AK78" i="31"/>
  <c r="AJ78" i="31"/>
  <c r="AE78" i="31"/>
  <c r="AD78" i="31"/>
  <c r="AB78" i="31"/>
  <c r="Z78" i="31"/>
  <c r="Y78" i="31"/>
  <c r="X78" i="31"/>
  <c r="W78" i="31"/>
  <c r="AA78" i="31" s="1"/>
  <c r="U78" i="31"/>
  <c r="T78" i="31"/>
  <c r="S78" i="31"/>
  <c r="R78" i="31"/>
  <c r="V78" i="31" s="1"/>
  <c r="Q78" i="31"/>
  <c r="P78" i="31"/>
  <c r="O78" i="31"/>
  <c r="N78" i="31"/>
  <c r="M78" i="31"/>
  <c r="K78" i="31"/>
  <c r="J78" i="31"/>
  <c r="I78" i="31"/>
  <c r="H78" i="31"/>
  <c r="L78" i="31" s="1"/>
  <c r="F78" i="31"/>
  <c r="E78" i="31"/>
  <c r="G78" i="31" s="1"/>
  <c r="D78" i="31"/>
  <c r="C78" i="31"/>
  <c r="AT77" i="31"/>
  <c r="AK77" i="31"/>
  <c r="AJ77" i="31"/>
  <c r="AE77" i="31"/>
  <c r="AD77" i="31"/>
  <c r="AB77" i="31"/>
  <c r="Z77" i="31"/>
  <c r="Y77" i="31"/>
  <c r="X77" i="31"/>
  <c r="W77" i="31"/>
  <c r="AA77" i="31" s="1"/>
  <c r="U77" i="31"/>
  <c r="T77" i="31"/>
  <c r="S77" i="31"/>
  <c r="R77" i="31"/>
  <c r="V77" i="31" s="1"/>
  <c r="Q77" i="31"/>
  <c r="P77" i="31"/>
  <c r="O77" i="31"/>
  <c r="N77" i="31"/>
  <c r="M77" i="31"/>
  <c r="K77" i="31"/>
  <c r="J77" i="31"/>
  <c r="I77" i="31"/>
  <c r="H77" i="31"/>
  <c r="L77" i="31" s="1"/>
  <c r="F77" i="31"/>
  <c r="E77" i="31"/>
  <c r="G77" i="31" s="1"/>
  <c r="D77" i="31"/>
  <c r="C77" i="31"/>
  <c r="AT76" i="31"/>
  <c r="AK76" i="31"/>
  <c r="AJ76" i="31"/>
  <c r="AE76" i="31"/>
  <c r="AD76" i="31"/>
  <c r="AB76" i="31"/>
  <c r="Z76" i="31"/>
  <c r="Y76" i="31"/>
  <c r="X76" i="31"/>
  <c r="W76" i="31"/>
  <c r="AA76" i="31" s="1"/>
  <c r="U76" i="31"/>
  <c r="T76" i="31"/>
  <c r="S76" i="31"/>
  <c r="R76" i="31"/>
  <c r="V76" i="31" s="1"/>
  <c r="Q76" i="31"/>
  <c r="P76" i="31"/>
  <c r="O76" i="31"/>
  <c r="N76" i="31"/>
  <c r="M76" i="31"/>
  <c r="K76" i="31"/>
  <c r="J76" i="31"/>
  <c r="I76" i="31"/>
  <c r="H76" i="31"/>
  <c r="L76" i="31" s="1"/>
  <c r="F76" i="31"/>
  <c r="E76" i="31"/>
  <c r="G76" i="31" s="1"/>
  <c r="D76" i="31"/>
  <c r="C76" i="31"/>
  <c r="AT75" i="31"/>
  <c r="AK75" i="31"/>
  <c r="AJ75" i="31"/>
  <c r="AE75" i="31"/>
  <c r="AD75" i="31"/>
  <c r="AB75" i="31"/>
  <c r="Z75" i="31"/>
  <c r="Y75" i="31"/>
  <c r="X75" i="31"/>
  <c r="W75" i="31"/>
  <c r="AA75" i="31" s="1"/>
  <c r="U75" i="31"/>
  <c r="T75" i="31"/>
  <c r="S75" i="31"/>
  <c r="R75" i="31"/>
  <c r="V75" i="31" s="1"/>
  <c r="Q75" i="31"/>
  <c r="P75" i="31"/>
  <c r="O75" i="31"/>
  <c r="N75" i="31"/>
  <c r="M75" i="31"/>
  <c r="K75" i="31"/>
  <c r="J75" i="31"/>
  <c r="I75" i="31"/>
  <c r="H75" i="31"/>
  <c r="L75" i="31" s="1"/>
  <c r="F75" i="31"/>
  <c r="E75" i="31"/>
  <c r="G75" i="31" s="1"/>
  <c r="D75" i="31"/>
  <c r="C75" i="31"/>
  <c r="AT74" i="31"/>
  <c r="AK74" i="31"/>
  <c r="AJ74" i="31"/>
  <c r="AE74" i="31"/>
  <c r="AD74" i="31"/>
  <c r="AB74" i="31"/>
  <c r="Z74" i="31"/>
  <c r="Y74" i="31"/>
  <c r="X74" i="31"/>
  <c r="W74" i="31"/>
  <c r="AA74" i="31" s="1"/>
  <c r="U74" i="31"/>
  <c r="T74" i="31"/>
  <c r="S74" i="31"/>
  <c r="R74" i="31"/>
  <c r="V74" i="31" s="1"/>
  <c r="Q74" i="31"/>
  <c r="P74" i="31"/>
  <c r="O74" i="31"/>
  <c r="N74" i="31"/>
  <c r="M74" i="31"/>
  <c r="K74" i="31"/>
  <c r="J74" i="31"/>
  <c r="I74" i="31"/>
  <c r="H74" i="31"/>
  <c r="L74" i="31" s="1"/>
  <c r="F74" i="31"/>
  <c r="E74" i="31"/>
  <c r="G74" i="31" s="1"/>
  <c r="D74" i="31"/>
  <c r="C74" i="31"/>
  <c r="AT73" i="31"/>
  <c r="AK73" i="31"/>
  <c r="AJ73" i="31"/>
  <c r="AE73" i="31"/>
  <c r="AD73" i="31"/>
  <c r="AB73" i="31"/>
  <c r="Z73" i="31"/>
  <c r="Y73" i="31"/>
  <c r="X73" i="31"/>
  <c r="W73" i="31"/>
  <c r="AA73" i="31" s="1"/>
  <c r="U73" i="31"/>
  <c r="T73" i="31"/>
  <c r="S73" i="31"/>
  <c r="R73" i="31"/>
  <c r="V73" i="31" s="1"/>
  <c r="Q73" i="31"/>
  <c r="P73" i="31"/>
  <c r="O73" i="31"/>
  <c r="N73" i="31"/>
  <c r="M73" i="31"/>
  <c r="K73" i="31"/>
  <c r="J73" i="31"/>
  <c r="I73" i="31"/>
  <c r="H73" i="31"/>
  <c r="L73" i="31" s="1"/>
  <c r="F73" i="31"/>
  <c r="E73" i="31"/>
  <c r="G73" i="31" s="1"/>
  <c r="D73" i="31"/>
  <c r="C73" i="31"/>
  <c r="AT72" i="31"/>
  <c r="AK72" i="31"/>
  <c r="AJ72" i="31"/>
  <c r="AE72" i="31"/>
  <c r="AD72" i="31"/>
  <c r="AB72" i="31"/>
  <c r="Z72" i="31"/>
  <c r="Y72" i="31"/>
  <c r="X72" i="31"/>
  <c r="W72" i="31"/>
  <c r="AA72" i="31" s="1"/>
  <c r="U72" i="31"/>
  <c r="T72" i="31"/>
  <c r="S72" i="31"/>
  <c r="R72" i="31"/>
  <c r="V72" i="31" s="1"/>
  <c r="Q72" i="31"/>
  <c r="P72" i="31"/>
  <c r="O72" i="31"/>
  <c r="N72" i="31"/>
  <c r="M72" i="31"/>
  <c r="K72" i="31"/>
  <c r="J72" i="31"/>
  <c r="I72" i="31"/>
  <c r="H72" i="31"/>
  <c r="L72" i="31" s="1"/>
  <c r="F72" i="31"/>
  <c r="E72" i="31"/>
  <c r="G72" i="31" s="1"/>
  <c r="D72" i="31"/>
  <c r="C72" i="31"/>
  <c r="AT71" i="31"/>
  <c r="AK71" i="31"/>
  <c r="AJ71" i="31"/>
  <c r="AE71" i="31"/>
  <c r="AD71" i="31"/>
  <c r="AB71" i="31"/>
  <c r="Z71" i="31"/>
  <c r="Y71" i="31"/>
  <c r="X71" i="31"/>
  <c r="W71" i="31"/>
  <c r="AA71" i="31" s="1"/>
  <c r="U71" i="31"/>
  <c r="T71" i="31"/>
  <c r="S71" i="31"/>
  <c r="R71" i="31"/>
  <c r="V71" i="31" s="1"/>
  <c r="Q71" i="31"/>
  <c r="P71" i="31"/>
  <c r="O71" i="31"/>
  <c r="N71" i="31"/>
  <c r="M71" i="31"/>
  <c r="K71" i="31"/>
  <c r="J71" i="31"/>
  <c r="I71" i="31"/>
  <c r="H71" i="31"/>
  <c r="L71" i="31" s="1"/>
  <c r="F71" i="31"/>
  <c r="E71" i="31"/>
  <c r="G71" i="31" s="1"/>
  <c r="D71" i="31"/>
  <c r="C71" i="31"/>
  <c r="AT41" i="31"/>
  <c r="AK41" i="31"/>
  <c r="AE41" i="31"/>
  <c r="AD41" i="31"/>
  <c r="AB41" i="31"/>
  <c r="Z41" i="31"/>
  <c r="Y41" i="31"/>
  <c r="X41" i="31"/>
  <c r="W41" i="31"/>
  <c r="AA41" i="31" s="1"/>
  <c r="U41" i="31"/>
  <c r="T41" i="31"/>
  <c r="S41" i="31"/>
  <c r="R41" i="31"/>
  <c r="V41" i="31" s="1"/>
  <c r="Q41" i="31"/>
  <c r="P41" i="31"/>
  <c r="O41" i="31"/>
  <c r="N41" i="31"/>
  <c r="M41" i="31"/>
  <c r="K41" i="31"/>
  <c r="J41" i="31"/>
  <c r="H41" i="31"/>
  <c r="F41" i="31"/>
  <c r="E41" i="31"/>
  <c r="G41" i="31" s="1"/>
  <c r="D41" i="31"/>
  <c r="C41" i="31"/>
  <c r="AT40" i="31"/>
  <c r="AK40" i="31"/>
  <c r="AE40" i="31"/>
  <c r="AD40" i="31"/>
  <c r="AB40" i="31"/>
  <c r="Z40" i="31"/>
  <c r="Y40" i="31"/>
  <c r="X40" i="31"/>
  <c r="W40" i="31"/>
  <c r="AA40" i="31" s="1"/>
  <c r="U40" i="31"/>
  <c r="T40" i="31"/>
  <c r="S40" i="31"/>
  <c r="R40" i="31"/>
  <c r="V40" i="31" s="1"/>
  <c r="Q40" i="31"/>
  <c r="P40" i="31"/>
  <c r="O40" i="31"/>
  <c r="N40" i="31"/>
  <c r="M40" i="31"/>
  <c r="K40" i="31"/>
  <c r="J40" i="31"/>
  <c r="H40" i="31"/>
  <c r="F40" i="31"/>
  <c r="E40" i="31"/>
  <c r="G40" i="31" s="1"/>
  <c r="D40" i="31"/>
  <c r="C40" i="31"/>
  <c r="AT39" i="31"/>
  <c r="AK39" i="31"/>
  <c r="AE39" i="31"/>
  <c r="AD39" i="31"/>
  <c r="AB39" i="31"/>
  <c r="Z39" i="31"/>
  <c r="Y39" i="31"/>
  <c r="X39" i="31"/>
  <c r="W39" i="31"/>
  <c r="AA39" i="31" s="1"/>
  <c r="U39" i="31"/>
  <c r="T39" i="31"/>
  <c r="S39" i="31"/>
  <c r="R39" i="31"/>
  <c r="V39" i="31" s="1"/>
  <c r="Q39" i="31"/>
  <c r="P39" i="31"/>
  <c r="O39" i="31"/>
  <c r="N39" i="31"/>
  <c r="M39" i="31"/>
  <c r="K39" i="31"/>
  <c r="J39" i="31"/>
  <c r="H39" i="31"/>
  <c r="F39" i="31"/>
  <c r="E39" i="31"/>
  <c r="G39" i="31" s="1"/>
  <c r="D39" i="31"/>
  <c r="C39" i="31"/>
  <c r="AT38" i="31"/>
  <c r="AK38" i="31"/>
  <c r="AE38" i="31"/>
  <c r="AD38" i="31"/>
  <c r="AB38" i="31"/>
  <c r="Z38" i="31"/>
  <c r="Y38" i="31"/>
  <c r="X38" i="31"/>
  <c r="W38" i="31"/>
  <c r="AA38" i="31" s="1"/>
  <c r="U38" i="31"/>
  <c r="T38" i="31"/>
  <c r="S38" i="31"/>
  <c r="R38" i="31"/>
  <c r="V38" i="31" s="1"/>
  <c r="Q38" i="31"/>
  <c r="P38" i="31"/>
  <c r="O38" i="31"/>
  <c r="N38" i="31"/>
  <c r="M38" i="31"/>
  <c r="K38" i="31"/>
  <c r="J38" i="31"/>
  <c r="H38" i="31"/>
  <c r="F38" i="31"/>
  <c r="E38" i="31"/>
  <c r="G38" i="31" s="1"/>
  <c r="D38" i="31"/>
  <c r="C38" i="31"/>
  <c r="AT37" i="31"/>
  <c r="AK37" i="31"/>
  <c r="AE37" i="31"/>
  <c r="AD37" i="31"/>
  <c r="AB37" i="31"/>
  <c r="Z37" i="31"/>
  <c r="Y37" i="31"/>
  <c r="X37" i="31"/>
  <c r="W37" i="31"/>
  <c r="AA37" i="31" s="1"/>
  <c r="U37" i="31"/>
  <c r="T37" i="31"/>
  <c r="S37" i="31"/>
  <c r="R37" i="31"/>
  <c r="V37" i="31" s="1"/>
  <c r="Q37" i="31"/>
  <c r="P37" i="31"/>
  <c r="O37" i="31"/>
  <c r="N37" i="31"/>
  <c r="M37" i="31"/>
  <c r="K37" i="31"/>
  <c r="J37" i="31"/>
  <c r="H37" i="31"/>
  <c r="F37" i="31"/>
  <c r="E37" i="31"/>
  <c r="G37" i="31" s="1"/>
  <c r="D37" i="31"/>
  <c r="C37" i="31"/>
  <c r="AT36" i="31"/>
  <c r="AK36" i="31"/>
  <c r="AE36" i="31"/>
  <c r="AD36" i="31"/>
  <c r="AB36" i="31"/>
  <c r="Z36" i="31"/>
  <c r="Y36" i="31"/>
  <c r="X36" i="31"/>
  <c r="W36" i="31"/>
  <c r="AA36" i="31" s="1"/>
  <c r="U36" i="31"/>
  <c r="T36" i="31"/>
  <c r="S36" i="31"/>
  <c r="R36" i="31"/>
  <c r="V36" i="31" s="1"/>
  <c r="Q36" i="31"/>
  <c r="P36" i="31"/>
  <c r="O36" i="31"/>
  <c r="N36" i="31"/>
  <c r="M36" i="31"/>
  <c r="K36" i="31"/>
  <c r="J36" i="31"/>
  <c r="H36" i="31"/>
  <c r="F36" i="31"/>
  <c r="E36" i="31"/>
  <c r="G36" i="31" s="1"/>
  <c r="D36" i="31"/>
  <c r="C36" i="31"/>
  <c r="AT35" i="31"/>
  <c r="AK35" i="31"/>
  <c r="AE35" i="31"/>
  <c r="AD35" i="31"/>
  <c r="AB35" i="31"/>
  <c r="Z35" i="31"/>
  <c r="Y35" i="31"/>
  <c r="X35" i="31"/>
  <c r="W35" i="31"/>
  <c r="AA35" i="31" s="1"/>
  <c r="U35" i="31"/>
  <c r="T35" i="31"/>
  <c r="S35" i="31"/>
  <c r="R35" i="31"/>
  <c r="V35" i="31" s="1"/>
  <c r="Q35" i="31"/>
  <c r="P35" i="31"/>
  <c r="O35" i="31"/>
  <c r="N35" i="31"/>
  <c r="M35" i="31"/>
  <c r="K35" i="31"/>
  <c r="J35" i="31"/>
  <c r="H35" i="31"/>
  <c r="F35" i="31"/>
  <c r="E35" i="31"/>
  <c r="G35" i="31" s="1"/>
  <c r="D35" i="31"/>
  <c r="C35" i="31"/>
  <c r="AT34" i="31"/>
  <c r="AK34" i="31"/>
  <c r="AE34" i="31"/>
  <c r="AD34" i="31"/>
  <c r="AB34" i="31"/>
  <c r="Z34" i="31"/>
  <c r="Y34" i="31"/>
  <c r="X34" i="31"/>
  <c r="W34" i="31"/>
  <c r="AA34" i="31" s="1"/>
  <c r="U34" i="31"/>
  <c r="T34" i="31"/>
  <c r="S34" i="31"/>
  <c r="R34" i="31"/>
  <c r="V34" i="31" s="1"/>
  <c r="Q34" i="31"/>
  <c r="P34" i="31"/>
  <c r="O34" i="31"/>
  <c r="N34" i="31"/>
  <c r="M34" i="31"/>
  <c r="K34" i="31"/>
  <c r="J34" i="31"/>
  <c r="H34" i="31"/>
  <c r="F34" i="31"/>
  <c r="E34" i="31"/>
  <c r="G34" i="31" s="1"/>
  <c r="D34" i="31"/>
  <c r="C34" i="31"/>
  <c r="AT33" i="31"/>
  <c r="AK33" i="31"/>
  <c r="AE33" i="31"/>
  <c r="AD33" i="31"/>
  <c r="AB33" i="31"/>
  <c r="Z33" i="31"/>
  <c r="Y33" i="31"/>
  <c r="X33" i="31"/>
  <c r="W33" i="31"/>
  <c r="AA33" i="31" s="1"/>
  <c r="U33" i="31"/>
  <c r="T33" i="31"/>
  <c r="S33" i="31"/>
  <c r="R33" i="31"/>
  <c r="V33" i="31" s="1"/>
  <c r="Q33" i="31"/>
  <c r="P33" i="31"/>
  <c r="O33" i="31"/>
  <c r="N33" i="31"/>
  <c r="M33" i="31"/>
  <c r="K33" i="31"/>
  <c r="J33" i="31"/>
  <c r="I33" i="31"/>
  <c r="H33" i="31"/>
  <c r="L33" i="31" s="1"/>
  <c r="F33" i="31"/>
  <c r="E33" i="31"/>
  <c r="G33" i="31" s="1"/>
  <c r="D33" i="31"/>
  <c r="C33" i="31"/>
  <c r="AT32" i="31"/>
  <c r="AK32" i="31"/>
  <c r="AE32" i="31"/>
  <c r="AD32" i="31"/>
  <c r="AB32" i="31"/>
  <c r="Z32" i="31"/>
  <c r="Y32" i="31"/>
  <c r="X32" i="31"/>
  <c r="W32" i="31"/>
  <c r="AA32" i="31" s="1"/>
  <c r="U32" i="31"/>
  <c r="T32" i="31"/>
  <c r="S32" i="31"/>
  <c r="R32" i="31"/>
  <c r="V32" i="31" s="1"/>
  <c r="Q32" i="31"/>
  <c r="P32" i="31"/>
  <c r="O32" i="31"/>
  <c r="N32" i="31"/>
  <c r="M32" i="31"/>
  <c r="K32" i="31"/>
  <c r="J32" i="31"/>
  <c r="I32" i="31"/>
  <c r="H32" i="31"/>
  <c r="L32" i="31" s="1"/>
  <c r="F32" i="31"/>
  <c r="E32" i="31"/>
  <c r="G32" i="31" s="1"/>
  <c r="D32" i="31"/>
  <c r="C32" i="31"/>
  <c r="AT31" i="31"/>
  <c r="AK31" i="31"/>
  <c r="AE31" i="31"/>
  <c r="AD31" i="31"/>
  <c r="AB31" i="31"/>
  <c r="Z31" i="31"/>
  <c r="Y31" i="31"/>
  <c r="X31" i="31"/>
  <c r="W31" i="31"/>
  <c r="AA31" i="31" s="1"/>
  <c r="U31" i="31"/>
  <c r="T31" i="31"/>
  <c r="S31" i="31"/>
  <c r="R31" i="31"/>
  <c r="V31" i="31" s="1"/>
  <c r="Q31" i="31"/>
  <c r="P31" i="31"/>
  <c r="O31" i="31"/>
  <c r="N31" i="31"/>
  <c r="M31" i="31"/>
  <c r="K31" i="31"/>
  <c r="J31" i="31"/>
  <c r="I31" i="31"/>
  <c r="H31" i="31"/>
  <c r="L31" i="31" s="1"/>
  <c r="F31" i="31"/>
  <c r="E31" i="31"/>
  <c r="G31" i="31" s="1"/>
  <c r="D31" i="31"/>
  <c r="C31" i="31"/>
  <c r="D27" i="12"/>
  <c r="D15" i="12"/>
  <c r="C15" i="12"/>
  <c r="C27" i="12" s="1"/>
  <c r="E4" i="17"/>
  <c r="E5" i="17"/>
  <c r="E6" i="17"/>
  <c r="E7" i="17"/>
  <c r="E8" i="17"/>
  <c r="E9" i="17"/>
  <c r="H9" i="28" a="1"/>
  <c r="H9" i="28" s="1"/>
  <c r="G9" i="28" a="1"/>
  <c r="G9" i="28" s="1"/>
  <c r="E9" i="28" a="1"/>
  <c r="E9" i="28" s="1"/>
  <c r="D9" i="28" a="1"/>
  <c r="D9" i="28" s="1"/>
  <c r="C9" i="28" a="1"/>
  <c r="C9" i="28" s="1"/>
  <c r="B9" i="28" a="1"/>
  <c r="B9" i="28" s="1"/>
  <c r="H10" i="28" a="1"/>
  <c r="H10" i="28" s="1"/>
  <c r="G10" i="28" a="1"/>
  <c r="G10" i="28" s="1"/>
  <c r="E10" i="28" a="1"/>
  <c r="E10" i="28" s="1"/>
  <c r="D10" i="28" a="1"/>
  <c r="D10" i="28" s="1"/>
  <c r="C10" i="28" a="1"/>
  <c r="C10" i="28" s="1"/>
  <c r="B10" i="28" a="1"/>
  <c r="B10" i="28" s="1"/>
  <c r="H20" i="28" a="1"/>
  <c r="H20" i="28" s="1"/>
  <c r="G20" i="28" a="1"/>
  <c r="G20" i="28" s="1"/>
  <c r="E20" i="28" a="1"/>
  <c r="E20" i="28" s="1"/>
  <c r="D20" i="28" a="1"/>
  <c r="D20" i="28" s="1"/>
  <c r="C20" i="28" a="1"/>
  <c r="C20" i="28" s="1"/>
  <c r="B20" i="28" a="1"/>
  <c r="B20" i="28" s="1"/>
  <c r="H17" i="28" a="1"/>
  <c r="H17" i="28" s="1"/>
  <c r="G17" i="28" a="1"/>
  <c r="G17" i="28" s="1"/>
  <c r="E17" i="28" a="1"/>
  <c r="E17" i="28" s="1"/>
  <c r="D17" i="28" a="1"/>
  <c r="D17" i="28" s="1"/>
  <c r="C17" i="28" a="1"/>
  <c r="C17" i="28" s="1"/>
  <c r="B17" i="28" a="1"/>
  <c r="B17" i="28" s="1"/>
  <c r="H47" i="28" a="1"/>
  <c r="H47" i="28" s="1"/>
  <c r="G47" i="28" a="1"/>
  <c r="G47" i="28" s="1"/>
  <c r="E47" i="28" a="1"/>
  <c r="E47" i="28" s="1"/>
  <c r="D47" i="28" a="1"/>
  <c r="D47" i="28" s="1"/>
  <c r="C47" i="28" a="1"/>
  <c r="C47" i="28" s="1"/>
  <c r="B47" i="28" a="1"/>
  <c r="B47" i="28" s="1"/>
  <c r="H13" i="28" a="1"/>
  <c r="H13" i="28" s="1"/>
  <c r="G13" i="28" a="1"/>
  <c r="G13" i="28" s="1"/>
  <c r="E13" i="28" a="1"/>
  <c r="E13" i="28" s="1"/>
  <c r="D13" i="28" a="1"/>
  <c r="D13" i="28" s="1"/>
  <c r="C13" i="28" a="1"/>
  <c r="C13" i="28" s="1"/>
  <c r="B13" i="28" a="1"/>
  <c r="B13" i="28" s="1"/>
  <c r="H31" i="28" a="1"/>
  <c r="H31" i="28" s="1"/>
  <c r="G31" i="28" a="1"/>
  <c r="G31" i="28" s="1"/>
  <c r="E31" i="28" a="1"/>
  <c r="E31" i="28" s="1"/>
  <c r="D31" i="28" a="1"/>
  <c r="D31" i="28" s="1"/>
  <c r="C31" i="28" a="1"/>
  <c r="C31" i="28" s="1"/>
  <c r="B31" i="28" a="1"/>
  <c r="B31" i="28" s="1"/>
  <c r="H6" i="28" a="1"/>
  <c r="H6" i="28" s="1"/>
  <c r="G6" i="28" a="1"/>
  <c r="G6" i="28" s="1"/>
  <c r="E6" i="28" a="1"/>
  <c r="E6" i="28" s="1"/>
  <c r="D6" i="28" a="1"/>
  <c r="D6" i="28" s="1"/>
  <c r="C6" i="28" a="1"/>
  <c r="C6" i="28" s="1"/>
  <c r="B6" i="28" a="1"/>
  <c r="B6" i="28" s="1"/>
  <c r="H40" i="28" a="1"/>
  <c r="H40" i="28" s="1"/>
  <c r="G40" i="28" a="1"/>
  <c r="G40" i="28" s="1"/>
  <c r="E40" i="28" a="1"/>
  <c r="E40" i="28" s="1"/>
  <c r="D40" i="28" a="1"/>
  <c r="D40" i="28" s="1"/>
  <c r="C40" i="28" a="1"/>
  <c r="C40" i="28" s="1"/>
  <c r="B40" i="28" a="1"/>
  <c r="B40" i="28" s="1"/>
  <c r="H30" i="28" a="1"/>
  <c r="H30" i="28" s="1"/>
  <c r="G30" i="28" a="1"/>
  <c r="G30" i="28" s="1"/>
  <c r="E30" i="28" a="1"/>
  <c r="E30" i="28" s="1"/>
  <c r="D30" i="28" a="1"/>
  <c r="D30" i="28" s="1"/>
  <c r="C30" i="28" a="1"/>
  <c r="C30" i="28" s="1"/>
  <c r="B30" i="28" a="1"/>
  <c r="B30" i="28" s="1"/>
  <c r="H19" i="28" a="1"/>
  <c r="H19" i="28" s="1"/>
  <c r="G19" i="28" a="1"/>
  <c r="G19" i="28" s="1"/>
  <c r="E19" i="28" a="1"/>
  <c r="E19" i="28" s="1"/>
  <c r="D19" i="28" a="1"/>
  <c r="D19" i="28" s="1"/>
  <c r="C19" i="28" a="1"/>
  <c r="C19" i="28" s="1"/>
  <c r="B19" i="28" a="1"/>
  <c r="B19" i="28" s="1"/>
  <c r="H42" i="28" a="1"/>
  <c r="H42" i="28" s="1"/>
  <c r="G42" i="28" a="1"/>
  <c r="G42" i="28" s="1"/>
  <c r="E42" i="28" a="1"/>
  <c r="E42" i="28" s="1"/>
  <c r="D42" i="28" a="1"/>
  <c r="D42" i="28" s="1"/>
  <c r="C42" i="28" a="1"/>
  <c r="C42" i="28" s="1"/>
  <c r="B42" i="28" a="1"/>
  <c r="B42" i="28" s="1"/>
  <c r="H50" i="28" a="1"/>
  <c r="H50" i="28" s="1"/>
  <c r="G50" i="28" a="1"/>
  <c r="G50" i="28" s="1"/>
  <c r="E50" i="28" a="1"/>
  <c r="E50" i="28" s="1"/>
  <c r="D50" i="28" a="1"/>
  <c r="D50" i="28" s="1"/>
  <c r="C50" i="28" a="1"/>
  <c r="C50" i="28" s="1"/>
  <c r="B50" i="28" a="1"/>
  <c r="B50" i="28" s="1"/>
  <c r="H14" i="28" a="1"/>
  <c r="H14" i="28" s="1"/>
  <c r="G14" i="28" a="1"/>
  <c r="G14" i="28" s="1"/>
  <c r="E14" i="28" a="1"/>
  <c r="E14" i="28" s="1"/>
  <c r="D14" i="28" a="1"/>
  <c r="D14" i="28" s="1"/>
  <c r="C14" i="28" a="1"/>
  <c r="C14" i="28" s="1"/>
  <c r="B14" i="28" a="1"/>
  <c r="B14" i="28" s="1"/>
  <c r="H16" i="28" a="1"/>
  <c r="H16" i="28" s="1"/>
  <c r="G16" i="28" a="1"/>
  <c r="G16" i="28" s="1"/>
  <c r="E16" i="28" a="1"/>
  <c r="E16" i="28" s="1"/>
  <c r="D16" i="28" a="1"/>
  <c r="D16" i="28" s="1"/>
  <c r="C16" i="28" a="1"/>
  <c r="C16" i="28" s="1"/>
  <c r="B16" i="28" a="1"/>
  <c r="B16" i="28" s="1"/>
  <c r="H8" i="28" a="1"/>
  <c r="H8" i="28" s="1"/>
  <c r="G8" i="28" a="1"/>
  <c r="G8" i="28" s="1"/>
  <c r="E8" i="28" a="1"/>
  <c r="E8" i="28" s="1"/>
  <c r="D8" i="28" a="1"/>
  <c r="D8" i="28" s="1"/>
  <c r="C8" i="28" a="1"/>
  <c r="C8" i="28" s="1"/>
  <c r="B8" i="28" a="1"/>
  <c r="B8" i="28" s="1"/>
  <c r="H27" i="28" a="1"/>
  <c r="H27" i="28" s="1"/>
  <c r="G27" i="28" a="1"/>
  <c r="G27" i="28" s="1"/>
  <c r="E27" i="28" a="1"/>
  <c r="E27" i="28" s="1"/>
  <c r="D27" i="28" a="1"/>
  <c r="D27" i="28" s="1"/>
  <c r="C27" i="28" a="1"/>
  <c r="C27" i="28" s="1"/>
  <c r="B27" i="28" a="1"/>
  <c r="B27" i="28" s="1"/>
  <c r="H43" i="28" a="1"/>
  <c r="H43" i="28" s="1"/>
  <c r="G43" i="28" a="1"/>
  <c r="G43" i="28" s="1"/>
  <c r="E43" i="28" a="1"/>
  <c r="E43" i="28" s="1"/>
  <c r="D43" i="28" a="1"/>
  <c r="D43" i="28" s="1"/>
  <c r="C43" i="28" a="1"/>
  <c r="C43" i="28" s="1"/>
  <c r="B43" i="28" a="1"/>
  <c r="B43" i="28" s="1"/>
  <c r="H12" i="28" a="1"/>
  <c r="H12" i="28" s="1"/>
  <c r="G12" i="28" a="1"/>
  <c r="G12" i="28" s="1"/>
  <c r="E12" i="28" a="1"/>
  <c r="E12" i="28" s="1"/>
  <c r="D12" i="28" a="1"/>
  <c r="D12" i="28" s="1"/>
  <c r="C12" i="28" a="1"/>
  <c r="C12" i="28" s="1"/>
  <c r="B12" i="28" a="1"/>
  <c r="B12" i="28" s="1"/>
  <c r="H24" i="28" a="1"/>
  <c r="H24" i="28" s="1"/>
  <c r="G24" i="28" a="1"/>
  <c r="G24" i="28" s="1"/>
  <c r="E24" i="28" a="1"/>
  <c r="E24" i="28" s="1"/>
  <c r="D24" i="28" a="1"/>
  <c r="D24" i="28" s="1"/>
  <c r="C24" i="28" a="1"/>
  <c r="C24" i="28" s="1"/>
  <c r="B24" i="28" a="1"/>
  <c r="B24" i="28" s="1"/>
  <c r="H26" i="28" a="1"/>
  <c r="H26" i="28" s="1"/>
  <c r="G26" i="28" a="1"/>
  <c r="G26" i="28" s="1"/>
  <c r="E26" i="28" a="1"/>
  <c r="E26" i="28" s="1"/>
  <c r="D26" i="28" a="1"/>
  <c r="D26" i="28" s="1"/>
  <c r="C26" i="28" a="1"/>
  <c r="C26" i="28" s="1"/>
  <c r="B26" i="28" a="1"/>
  <c r="B26" i="28" s="1"/>
  <c r="H51" i="28" a="1"/>
  <c r="H51" i="28" s="1"/>
  <c r="G51" i="28" a="1"/>
  <c r="G51" i="28" s="1"/>
  <c r="E51" i="28" a="1"/>
  <c r="E51" i="28" s="1"/>
  <c r="D51" i="28" a="1"/>
  <c r="D51" i="28" s="1"/>
  <c r="C51" i="28" a="1"/>
  <c r="C51" i="28" s="1"/>
  <c r="B51" i="28" a="1"/>
  <c r="B51" i="28" s="1"/>
  <c r="H37" i="28" a="1"/>
  <c r="H37" i="28" s="1"/>
  <c r="G37" i="28" a="1"/>
  <c r="G37" i="28" s="1"/>
  <c r="E37" i="28" a="1"/>
  <c r="E37" i="28" s="1"/>
  <c r="D37" i="28" a="1"/>
  <c r="D37" i="28" s="1"/>
  <c r="C37" i="28" a="1"/>
  <c r="C37" i="28" s="1"/>
  <c r="B37" i="28" a="1"/>
  <c r="B37" i="28" s="1"/>
  <c r="H39" i="28" a="1"/>
  <c r="H39" i="28" s="1"/>
  <c r="G39" i="28" a="1"/>
  <c r="G39" i="28" s="1"/>
  <c r="E39" i="28" a="1"/>
  <c r="E39" i="28" s="1"/>
  <c r="D39" i="28" a="1"/>
  <c r="D39" i="28" s="1"/>
  <c r="C39" i="28" a="1"/>
  <c r="C39" i="28" s="1"/>
  <c r="B39" i="28" a="1"/>
  <c r="B39" i="28" s="1"/>
  <c r="H35" i="28" a="1"/>
  <c r="H35" i="28" s="1"/>
  <c r="G35" i="28" a="1"/>
  <c r="G35" i="28" s="1"/>
  <c r="E35" i="28" a="1"/>
  <c r="E35" i="28" s="1"/>
  <c r="D35" i="28" a="1"/>
  <c r="D35" i="28" s="1"/>
  <c r="C35" i="28" a="1"/>
  <c r="C35" i="28" s="1"/>
  <c r="B35" i="28" a="1"/>
  <c r="B35" i="28" s="1"/>
  <c r="H32" i="28" a="1"/>
  <c r="H32" i="28" s="1"/>
  <c r="G32" i="28" a="1"/>
  <c r="G32" i="28" s="1"/>
  <c r="E32" i="28" a="1"/>
  <c r="E32" i="28" s="1"/>
  <c r="D32" i="28" a="1"/>
  <c r="D32" i="28" s="1"/>
  <c r="C32" i="28" a="1"/>
  <c r="C32" i="28" s="1"/>
  <c r="B32" i="28" a="1"/>
  <c r="B32" i="28" s="1"/>
  <c r="H44" i="28" a="1"/>
  <c r="H44" i="28" s="1"/>
  <c r="G44" i="28" a="1"/>
  <c r="G44" i="28" s="1"/>
  <c r="E44" i="28" a="1"/>
  <c r="E44" i="28" s="1"/>
  <c r="D44" i="28" a="1"/>
  <c r="D44" i="28" s="1"/>
  <c r="C44" i="28" a="1"/>
  <c r="C44" i="28" s="1"/>
  <c r="B44" i="28" a="1"/>
  <c r="B44" i="28" s="1"/>
  <c r="H48" i="28" a="1"/>
  <c r="H48" i="28" s="1"/>
  <c r="G48" i="28" a="1"/>
  <c r="G48" i="28" s="1"/>
  <c r="E48" i="28" a="1"/>
  <c r="E48" i="28" s="1"/>
  <c r="D48" i="28" a="1"/>
  <c r="D48" i="28" s="1"/>
  <c r="C48" i="28" a="1"/>
  <c r="C48" i="28" s="1"/>
  <c r="B48" i="28" a="1"/>
  <c r="B48" i="28" s="1"/>
  <c r="H41" i="28" a="1"/>
  <c r="H41" i="28" s="1"/>
  <c r="G41" i="28" a="1"/>
  <c r="G41" i="28" s="1"/>
  <c r="E41" i="28" a="1"/>
  <c r="E41" i="28" s="1"/>
  <c r="D41" i="28" a="1"/>
  <c r="D41" i="28" s="1"/>
  <c r="C41" i="28" a="1"/>
  <c r="C41" i="28" s="1"/>
  <c r="B41" i="28" a="1"/>
  <c r="B41" i="28" s="1"/>
  <c r="H49" i="28" a="1"/>
  <c r="H49" i="28" s="1"/>
  <c r="G49" i="28" a="1"/>
  <c r="G49" i="28" s="1"/>
  <c r="E49" i="28" a="1"/>
  <c r="E49" i="28" s="1"/>
  <c r="D49" i="28" a="1"/>
  <c r="D49" i="28" s="1"/>
  <c r="C49" i="28" a="1"/>
  <c r="C49" i="28" s="1"/>
  <c r="B49" i="28" a="1"/>
  <c r="B49" i="28" s="1"/>
  <c r="H7" i="28" a="1"/>
  <c r="H7" i="28" s="1"/>
  <c r="G7" i="28" a="1"/>
  <c r="G7" i="28" s="1"/>
  <c r="E7" i="28" a="1"/>
  <c r="E7" i="28" s="1"/>
  <c r="D7" i="28" a="1"/>
  <c r="D7" i="28" s="1"/>
  <c r="C7" i="28" a="1"/>
  <c r="C7" i="28" s="1"/>
  <c r="B7" i="28" a="1"/>
  <c r="B7" i="28" s="1"/>
  <c r="H29" i="28" a="1"/>
  <c r="H29" i="28" s="1"/>
  <c r="G29" i="28" a="1"/>
  <c r="G29" i="28" s="1"/>
  <c r="E29" i="28" a="1"/>
  <c r="E29" i="28" s="1"/>
  <c r="D29" i="28" a="1"/>
  <c r="D29" i="28" s="1"/>
  <c r="C29" i="28" a="1"/>
  <c r="C29" i="28" s="1"/>
  <c r="B29" i="28" a="1"/>
  <c r="B29" i="28" s="1"/>
  <c r="H46" i="28" a="1"/>
  <c r="H46" i="28" s="1"/>
  <c r="G46" i="28" a="1"/>
  <c r="G46" i="28" s="1"/>
  <c r="E46" i="28" a="1"/>
  <c r="E46" i="28" s="1"/>
  <c r="D46" i="28" a="1"/>
  <c r="D46" i="28" s="1"/>
  <c r="C46" i="28" a="1"/>
  <c r="C46" i="28" s="1"/>
  <c r="B46" i="28" a="1"/>
  <c r="B46" i="28" s="1"/>
  <c r="H33" i="28" a="1"/>
  <c r="H33" i="28" s="1"/>
  <c r="G33" i="28" a="1"/>
  <c r="G33" i="28" s="1"/>
  <c r="E33" i="28" a="1"/>
  <c r="E33" i="28" s="1"/>
  <c r="D33" i="28" a="1"/>
  <c r="D33" i="28" s="1"/>
  <c r="C33" i="28" a="1"/>
  <c r="C33" i="28" s="1"/>
  <c r="B33" i="28" a="1"/>
  <c r="B33" i="28" s="1"/>
  <c r="H4" i="28" a="1"/>
  <c r="H4" i="28" s="1"/>
  <c r="G4" i="28" a="1"/>
  <c r="G4" i="28" s="1"/>
  <c r="E4" i="28" a="1"/>
  <c r="E4" i="28" s="1"/>
  <c r="D4" i="28" a="1"/>
  <c r="D4" i="28" s="1"/>
  <c r="C4" i="28" a="1"/>
  <c r="C4" i="28" s="1"/>
  <c r="B4" i="28" a="1"/>
  <c r="B4" i="28" s="1"/>
  <c r="H45" i="28" a="1"/>
  <c r="H45" i="28" s="1"/>
  <c r="G45" i="28" a="1"/>
  <c r="G45" i="28" s="1"/>
  <c r="E45" i="28" a="1"/>
  <c r="E45" i="28" s="1"/>
  <c r="D45" i="28" a="1"/>
  <c r="D45" i="28" s="1"/>
  <c r="C45" i="28" a="1"/>
  <c r="C45" i="28" s="1"/>
  <c r="B45" i="28" a="1"/>
  <c r="B45" i="28" s="1"/>
  <c r="H5" i="28" a="1"/>
  <c r="H5" i="28" s="1"/>
  <c r="G5" i="28" a="1"/>
  <c r="G5" i="28" s="1"/>
  <c r="E5" i="28" a="1"/>
  <c r="E5" i="28" s="1"/>
  <c r="D5" i="28" a="1"/>
  <c r="D5" i="28" s="1"/>
  <c r="C5" i="28" a="1"/>
  <c r="C5" i="28" s="1"/>
  <c r="B5" i="28" a="1"/>
  <c r="B5" i="28" s="1"/>
  <c r="H34" i="28" a="1"/>
  <c r="H34" i="28" s="1"/>
  <c r="G34" i="28" a="1"/>
  <c r="G34" i="28" s="1"/>
  <c r="E34" i="28" a="1"/>
  <c r="E34" i="28" s="1"/>
  <c r="D34" i="28" a="1"/>
  <c r="D34" i="28" s="1"/>
  <c r="C34" i="28" a="1"/>
  <c r="C34" i="28" s="1"/>
  <c r="B34" i="28" a="1"/>
  <c r="B34" i="28" s="1"/>
  <c r="H38" i="28" a="1"/>
  <c r="H38" i="28" s="1"/>
  <c r="G38" i="28" a="1"/>
  <c r="G38" i="28" s="1"/>
  <c r="E38" i="28" a="1"/>
  <c r="E38" i="28" s="1"/>
  <c r="D38" i="28" a="1"/>
  <c r="D38" i="28" s="1"/>
  <c r="C38" i="28" a="1"/>
  <c r="C38" i="28" s="1"/>
  <c r="B38" i="28" a="1"/>
  <c r="B38" i="28" s="1"/>
  <c r="H28" i="28" a="1"/>
  <c r="H28" i="28" s="1"/>
  <c r="G28" i="28" a="1"/>
  <c r="G28" i="28" s="1"/>
  <c r="E28" i="28" a="1"/>
  <c r="E28" i="28" s="1"/>
  <c r="D28" i="28" a="1"/>
  <c r="D28" i="28" s="1"/>
  <c r="C28" i="28" a="1"/>
  <c r="C28" i="28" s="1"/>
  <c r="B28" i="28" a="1"/>
  <c r="B28" i="28" s="1"/>
  <c r="H36" i="28" a="1"/>
  <c r="H36" i="28" s="1"/>
  <c r="G36" i="28" a="1"/>
  <c r="G36" i="28" s="1"/>
  <c r="E36" i="28" a="1"/>
  <c r="E36" i="28" s="1"/>
  <c r="D36" i="28" a="1"/>
  <c r="D36" i="28" s="1"/>
  <c r="C36" i="28" a="1"/>
  <c r="C36" i="28" s="1"/>
  <c r="B36" i="28" a="1"/>
  <c r="B36" i="28" s="1"/>
  <c r="H3" i="28" a="1"/>
  <c r="H3" i="28" s="1"/>
  <c r="G3" i="28" a="1"/>
  <c r="G3" i="28" s="1"/>
  <c r="E3" i="28" a="1"/>
  <c r="E3" i="28" s="1"/>
  <c r="D3" i="28" a="1"/>
  <c r="D3" i="28" s="1"/>
  <c r="C3" i="28" a="1"/>
  <c r="C3" i="28" s="1"/>
  <c r="B3" i="28" a="1"/>
  <c r="B3" i="28" s="1"/>
  <c r="H18" i="28" a="1"/>
  <c r="H18" i="28" s="1"/>
  <c r="G18" i="28" a="1"/>
  <c r="G18" i="28" s="1"/>
  <c r="E18" i="28" a="1"/>
  <c r="E18" i="28" s="1"/>
  <c r="D18" i="28" a="1"/>
  <c r="D18" i="28" s="1"/>
  <c r="C18" i="28" a="1"/>
  <c r="C18" i="28" s="1"/>
  <c r="B18" i="28" a="1"/>
  <c r="B18" i="28" s="1"/>
  <c r="H15" i="28" a="1"/>
  <c r="H15" i="28" s="1"/>
  <c r="G15" i="28" a="1"/>
  <c r="G15" i="28" s="1"/>
  <c r="E15" i="28" a="1"/>
  <c r="E15" i="28" s="1"/>
  <c r="D15" i="28" a="1"/>
  <c r="D15" i="28" s="1"/>
  <c r="C15" i="28" a="1"/>
  <c r="C15" i="28" s="1"/>
  <c r="B15" i="28" a="1"/>
  <c r="B15" i="28" s="1"/>
  <c r="H23" i="28" a="1"/>
  <c r="H23" i="28" s="1"/>
  <c r="G23" i="28" a="1"/>
  <c r="G23" i="28" s="1"/>
  <c r="E23" i="28" a="1"/>
  <c r="E23" i="28" s="1"/>
  <c r="D23" i="28" a="1"/>
  <c r="D23" i="28" s="1"/>
  <c r="C23" i="28" a="1"/>
  <c r="C23" i="28" s="1"/>
  <c r="B23" i="28" a="1"/>
  <c r="B23" i="28" s="1"/>
  <c r="H22" i="28" a="1"/>
  <c r="H22" i="28" s="1"/>
  <c r="G22" i="28" a="1"/>
  <c r="G22" i="28" s="1"/>
  <c r="E22" i="28" a="1"/>
  <c r="E22" i="28" s="1"/>
  <c r="D22" i="28" a="1"/>
  <c r="D22" i="28" s="1"/>
  <c r="C22" i="28" a="1"/>
  <c r="C22" i="28" s="1"/>
  <c r="B22" i="28" a="1"/>
  <c r="B22" i="28" s="1"/>
  <c r="H11" i="28" a="1"/>
  <c r="H11" i="28" s="1"/>
  <c r="G11" i="28" a="1"/>
  <c r="G11" i="28" s="1"/>
  <c r="E11" i="28" a="1"/>
  <c r="E11" i="28" s="1"/>
  <c r="D11" i="28" a="1"/>
  <c r="D11" i="28" s="1"/>
  <c r="C11" i="28" a="1"/>
  <c r="C11" i="28" s="1"/>
  <c r="B11" i="28" a="1"/>
  <c r="B11" i="28" s="1"/>
  <c r="H21" i="28" a="1"/>
  <c r="H21" i="28" s="1"/>
  <c r="G21" i="28" a="1"/>
  <c r="G21" i="28" s="1"/>
  <c r="E21" i="28" a="1"/>
  <c r="E21" i="28" s="1"/>
  <c r="D21" i="28" a="1"/>
  <c r="D21" i="28" s="1"/>
  <c r="C21" i="28" a="1"/>
  <c r="C21" i="28" s="1"/>
  <c r="B21" i="28" a="1"/>
  <c r="B21" i="28" s="1"/>
  <c r="H25" i="28" a="1"/>
  <c r="H25" i="28" s="1"/>
  <c r="G25" i="28" a="1"/>
  <c r="G25" i="28" s="1"/>
  <c r="E25" i="28" a="1"/>
  <c r="E25" i="28" s="1"/>
  <c r="D25" i="28" a="1"/>
  <c r="D25" i="28" s="1"/>
  <c r="C25" i="28" a="1"/>
  <c r="C25" i="28" s="1"/>
  <c r="B25" i="28" a="1"/>
  <c r="B25" i="28" s="1"/>
  <c r="H2" i="28" a="1"/>
  <c r="H2" i="28" s="1"/>
  <c r="G2" i="28" a="1"/>
  <c r="G2" i="28" s="1"/>
  <c r="E2" i="28" a="1"/>
  <c r="E2" i="28" s="1"/>
  <c r="D2" i="28" a="1"/>
  <c r="D2" i="28" s="1"/>
  <c r="C2" i="28" a="1"/>
  <c r="C2" i="28" s="1"/>
  <c r="B2" i="28" a="1"/>
  <c r="B2" i="28" s="1"/>
  <c r="H46" i="27" a="1"/>
  <c r="H46" i="27" s="1"/>
  <c r="G46" i="27" a="1"/>
  <c r="G46" i="27" s="1"/>
  <c r="E46" i="27" a="1"/>
  <c r="E46" i="27" s="1"/>
  <c r="D46" i="27" a="1"/>
  <c r="D46" i="27" s="1"/>
  <c r="J46" i="27" a="1"/>
  <c r="J46" i="27" s="1"/>
  <c r="C46" i="27" a="1"/>
  <c r="C46" i="27" s="1"/>
  <c r="B46" i="27" a="1"/>
  <c r="B46" i="27" s="1"/>
  <c r="H45" i="27" a="1"/>
  <c r="H45" i="27" s="1"/>
  <c r="G45" i="27" a="1"/>
  <c r="G45" i="27" s="1"/>
  <c r="E45" i="27" a="1"/>
  <c r="E45" i="27" s="1"/>
  <c r="D45" i="27" a="1"/>
  <c r="D45" i="27" s="1"/>
  <c r="J45" i="27" a="1"/>
  <c r="J45" i="27" s="1"/>
  <c r="C45" i="27" a="1"/>
  <c r="C45" i="27" s="1"/>
  <c r="B45" i="27" a="1"/>
  <c r="B45" i="27" s="1"/>
  <c r="H44" i="27" a="1"/>
  <c r="H44" i="27" s="1"/>
  <c r="G44" i="27" a="1"/>
  <c r="G44" i="27" s="1"/>
  <c r="E44" i="27" a="1"/>
  <c r="E44" i="27" s="1"/>
  <c r="D44" i="27" a="1"/>
  <c r="D44" i="27" s="1"/>
  <c r="J44" i="27" a="1"/>
  <c r="J44" i="27" s="1"/>
  <c r="C44" i="27" a="1"/>
  <c r="C44" i="27" s="1"/>
  <c r="B44" i="27" a="1"/>
  <c r="B44" i="27" s="1"/>
  <c r="H43" i="27" a="1"/>
  <c r="H43" i="27" s="1"/>
  <c r="G43" i="27" a="1"/>
  <c r="G43" i="27" s="1"/>
  <c r="E43" i="27" a="1"/>
  <c r="E43" i="27" s="1"/>
  <c r="D43" i="27" a="1"/>
  <c r="D43" i="27" s="1"/>
  <c r="J43" i="27" a="1"/>
  <c r="J43" i="27" s="1"/>
  <c r="C43" i="27" a="1"/>
  <c r="C43" i="27" s="1"/>
  <c r="B43" i="27" a="1"/>
  <c r="B43" i="27" s="1"/>
  <c r="H42" i="27" a="1"/>
  <c r="H42" i="27" s="1"/>
  <c r="G42" i="27" a="1"/>
  <c r="G42" i="27" s="1"/>
  <c r="E42" i="27" a="1"/>
  <c r="E42" i="27" s="1"/>
  <c r="D42" i="27" a="1"/>
  <c r="D42" i="27" s="1"/>
  <c r="J42" i="27" a="1"/>
  <c r="J42" i="27" s="1"/>
  <c r="C42" i="27" a="1"/>
  <c r="C42" i="27" s="1"/>
  <c r="B42" i="27" a="1"/>
  <c r="B42" i="27" s="1"/>
  <c r="H41" i="27" a="1"/>
  <c r="H41" i="27" s="1"/>
  <c r="G41" i="27" a="1"/>
  <c r="G41" i="27" s="1"/>
  <c r="E41" i="27" a="1"/>
  <c r="E41" i="27" s="1"/>
  <c r="D41" i="27" a="1"/>
  <c r="D41" i="27" s="1"/>
  <c r="J41" i="27" a="1"/>
  <c r="J41" i="27" s="1"/>
  <c r="C41" i="27" a="1"/>
  <c r="C41" i="27" s="1"/>
  <c r="B41" i="27" a="1"/>
  <c r="B41" i="27" s="1"/>
  <c r="H40" i="27" a="1"/>
  <c r="H40" i="27" s="1"/>
  <c r="G40" i="27" a="1"/>
  <c r="G40" i="27" s="1"/>
  <c r="E40" i="27" a="1"/>
  <c r="E40" i="27" s="1"/>
  <c r="D40" i="27" a="1"/>
  <c r="D40" i="27" s="1"/>
  <c r="J40" i="27" a="1"/>
  <c r="J40" i="27" s="1"/>
  <c r="C40" i="27" a="1"/>
  <c r="C40" i="27" s="1"/>
  <c r="B40" i="27" a="1"/>
  <c r="B40" i="27" s="1"/>
  <c r="H39" i="27" a="1"/>
  <c r="H39" i="27" s="1"/>
  <c r="G39" i="27" a="1"/>
  <c r="G39" i="27" s="1"/>
  <c r="E39" i="27" a="1"/>
  <c r="E39" i="27" s="1"/>
  <c r="D39" i="27" a="1"/>
  <c r="D39" i="27" s="1"/>
  <c r="J39" i="27" a="1"/>
  <c r="J39" i="27" s="1"/>
  <c r="C39" i="27" a="1"/>
  <c r="C39" i="27" s="1"/>
  <c r="B39" i="27" a="1"/>
  <c r="B39" i="27" s="1"/>
  <c r="H38" i="27" a="1"/>
  <c r="H38" i="27" s="1"/>
  <c r="G38" i="27" a="1"/>
  <c r="G38" i="27" s="1"/>
  <c r="E38" i="27" a="1"/>
  <c r="E38" i="27" s="1"/>
  <c r="D38" i="27" a="1"/>
  <c r="D38" i="27" s="1"/>
  <c r="J38" i="27" a="1"/>
  <c r="J38" i="27" s="1"/>
  <c r="C38" i="27" a="1"/>
  <c r="C38" i="27" s="1"/>
  <c r="B38" i="27" a="1"/>
  <c r="B38" i="27" s="1"/>
  <c r="H37" i="27" a="1"/>
  <c r="H37" i="27" s="1"/>
  <c r="G37" i="27" a="1"/>
  <c r="G37" i="27" s="1"/>
  <c r="E37" i="27" a="1"/>
  <c r="E37" i="27" s="1"/>
  <c r="D37" i="27" a="1"/>
  <c r="D37" i="27" s="1"/>
  <c r="J37" i="27" a="1"/>
  <c r="J37" i="27" s="1"/>
  <c r="C37" i="27" a="1"/>
  <c r="C37" i="27" s="1"/>
  <c r="B37" i="27" a="1"/>
  <c r="B37" i="27" s="1"/>
  <c r="H36" i="27" a="1"/>
  <c r="H36" i="27" s="1"/>
  <c r="G36" i="27" a="1"/>
  <c r="G36" i="27" s="1"/>
  <c r="E36" i="27" a="1"/>
  <c r="E36" i="27" s="1"/>
  <c r="D36" i="27" a="1"/>
  <c r="D36" i="27" s="1"/>
  <c r="J36" i="27" a="1"/>
  <c r="J36" i="27" s="1"/>
  <c r="C36" i="27" a="1"/>
  <c r="C36" i="27" s="1"/>
  <c r="B36" i="27" a="1"/>
  <c r="B36" i="27" s="1"/>
  <c r="H35" i="27" a="1"/>
  <c r="H35" i="27" s="1"/>
  <c r="G35" i="27" a="1"/>
  <c r="G35" i="27" s="1"/>
  <c r="E35" i="27" a="1"/>
  <c r="E35" i="27" s="1"/>
  <c r="D35" i="27" a="1"/>
  <c r="D35" i="27" s="1"/>
  <c r="J35" i="27" a="1"/>
  <c r="J35" i="27" s="1"/>
  <c r="C35" i="27" a="1"/>
  <c r="C35" i="27" s="1"/>
  <c r="B35" i="27" a="1"/>
  <c r="B35" i="27" s="1"/>
  <c r="H34" i="27" a="1"/>
  <c r="H34" i="27" s="1"/>
  <c r="G34" i="27" a="1"/>
  <c r="G34" i="27" s="1"/>
  <c r="E34" i="27" a="1"/>
  <c r="E34" i="27" s="1"/>
  <c r="D34" i="27" a="1"/>
  <c r="D34" i="27" s="1"/>
  <c r="J34" i="27" a="1"/>
  <c r="J34" i="27" s="1"/>
  <c r="C34" i="27" a="1"/>
  <c r="C34" i="27" s="1"/>
  <c r="B34" i="27" a="1"/>
  <c r="B34" i="27" s="1"/>
  <c r="H33" i="27" a="1"/>
  <c r="H33" i="27" s="1"/>
  <c r="G33" i="27" a="1"/>
  <c r="G33" i="27" s="1"/>
  <c r="E33" i="27" a="1"/>
  <c r="E33" i="27" s="1"/>
  <c r="D33" i="27" a="1"/>
  <c r="D33" i="27" s="1"/>
  <c r="J33" i="27" a="1"/>
  <c r="J33" i="27" s="1"/>
  <c r="C33" i="27" a="1"/>
  <c r="C33" i="27" s="1"/>
  <c r="B33" i="27" a="1"/>
  <c r="B33" i="27" s="1"/>
  <c r="H32" i="27" a="1"/>
  <c r="H32" i="27" s="1"/>
  <c r="G32" i="27" a="1"/>
  <c r="G32" i="27" s="1"/>
  <c r="E32" i="27" a="1"/>
  <c r="E32" i="27" s="1"/>
  <c r="D32" i="27" a="1"/>
  <c r="D32" i="27" s="1"/>
  <c r="J32" i="27" a="1"/>
  <c r="J32" i="27" s="1"/>
  <c r="C32" i="27" a="1"/>
  <c r="C32" i="27" s="1"/>
  <c r="B32" i="27" a="1"/>
  <c r="B32" i="27" s="1"/>
  <c r="H31" i="27" a="1"/>
  <c r="H31" i="27" s="1"/>
  <c r="G31" i="27" a="1"/>
  <c r="G31" i="27" s="1"/>
  <c r="E31" i="27" a="1"/>
  <c r="E31" i="27" s="1"/>
  <c r="D31" i="27" a="1"/>
  <c r="D31" i="27" s="1"/>
  <c r="J31" i="27" a="1"/>
  <c r="J31" i="27" s="1"/>
  <c r="C31" i="27" a="1"/>
  <c r="C31" i="27" s="1"/>
  <c r="B31" i="27" a="1"/>
  <c r="B31" i="27" s="1"/>
  <c r="H30" i="27" a="1"/>
  <c r="H30" i="27" s="1"/>
  <c r="G30" i="27" a="1"/>
  <c r="G30" i="27" s="1"/>
  <c r="E30" i="27" a="1"/>
  <c r="E30" i="27" s="1"/>
  <c r="D30" i="27" a="1"/>
  <c r="D30" i="27" s="1"/>
  <c r="J30" i="27" a="1"/>
  <c r="J30" i="27" s="1"/>
  <c r="C30" i="27" a="1"/>
  <c r="C30" i="27" s="1"/>
  <c r="B30" i="27" a="1"/>
  <c r="B30" i="27" s="1"/>
  <c r="H29" i="27" a="1"/>
  <c r="H29" i="27" s="1"/>
  <c r="G29" i="27" a="1"/>
  <c r="G29" i="27" s="1"/>
  <c r="E29" i="27" a="1"/>
  <c r="E29" i="27" s="1"/>
  <c r="D29" i="27" a="1"/>
  <c r="D29" i="27" s="1"/>
  <c r="J29" i="27" a="1"/>
  <c r="J29" i="27" s="1"/>
  <c r="C29" i="27" a="1"/>
  <c r="C29" i="27" s="1"/>
  <c r="B29" i="27" a="1"/>
  <c r="B29" i="27" s="1"/>
  <c r="H28" i="27" a="1"/>
  <c r="H28" i="27" s="1"/>
  <c r="G28" i="27" a="1"/>
  <c r="G28" i="27" s="1"/>
  <c r="E28" i="27" a="1"/>
  <c r="E28" i="27" s="1"/>
  <c r="D28" i="27" a="1"/>
  <c r="D28" i="27" s="1"/>
  <c r="J28" i="27" a="1"/>
  <c r="J28" i="27" s="1"/>
  <c r="C28" i="27" a="1"/>
  <c r="C28" i="27" s="1"/>
  <c r="B28" i="27" a="1"/>
  <c r="B28" i="27" s="1"/>
  <c r="H27" i="27" a="1"/>
  <c r="H27" i="27" s="1"/>
  <c r="G27" i="27" a="1"/>
  <c r="G27" i="27" s="1"/>
  <c r="E27" i="27" a="1"/>
  <c r="E27" i="27" s="1"/>
  <c r="D27" i="27" a="1"/>
  <c r="D27" i="27" s="1"/>
  <c r="J27" i="27" a="1"/>
  <c r="J27" i="27" s="1"/>
  <c r="C27" i="27" a="1"/>
  <c r="C27" i="27" s="1"/>
  <c r="B27" i="27" a="1"/>
  <c r="B27" i="27" s="1"/>
  <c r="H26" i="27" a="1"/>
  <c r="H26" i="27" s="1"/>
  <c r="G26" i="27" a="1"/>
  <c r="G26" i="27" s="1"/>
  <c r="E26" i="27" a="1"/>
  <c r="E26" i="27" s="1"/>
  <c r="D26" i="27" a="1"/>
  <c r="D26" i="27" s="1"/>
  <c r="J26" i="27" a="1"/>
  <c r="J26" i="27" s="1"/>
  <c r="C26" i="27" a="1"/>
  <c r="C26" i="27" s="1"/>
  <c r="B26" i="27" a="1"/>
  <c r="B26" i="27" s="1"/>
  <c r="H25" i="27" a="1"/>
  <c r="H25" i="27" s="1"/>
  <c r="G25" i="27" a="1"/>
  <c r="G25" i="27" s="1"/>
  <c r="E25" i="27" a="1"/>
  <c r="E25" i="27" s="1"/>
  <c r="D25" i="27" a="1"/>
  <c r="D25" i="27" s="1"/>
  <c r="J25" i="27" a="1"/>
  <c r="J25" i="27" s="1"/>
  <c r="C25" i="27" a="1"/>
  <c r="C25" i="27" s="1"/>
  <c r="B25" i="27" a="1"/>
  <c r="B25" i="27" s="1"/>
  <c r="H24" i="27" a="1"/>
  <c r="H24" i="27" s="1"/>
  <c r="G24" i="27" a="1"/>
  <c r="G24" i="27" s="1"/>
  <c r="E24" i="27" a="1"/>
  <c r="E24" i="27" s="1"/>
  <c r="D24" i="27" a="1"/>
  <c r="D24" i="27" s="1"/>
  <c r="J24" i="27" a="1"/>
  <c r="J24" i="27" s="1"/>
  <c r="C24" i="27" a="1"/>
  <c r="C24" i="27" s="1"/>
  <c r="B24" i="27" a="1"/>
  <c r="B24" i="27" s="1"/>
  <c r="H23" i="27" a="1"/>
  <c r="H23" i="27" s="1"/>
  <c r="G23" i="27" a="1"/>
  <c r="G23" i="27" s="1"/>
  <c r="E23" i="27" a="1"/>
  <c r="E23" i="27" s="1"/>
  <c r="D23" i="27" a="1"/>
  <c r="D23" i="27" s="1"/>
  <c r="J23" i="27" a="1"/>
  <c r="J23" i="27" s="1"/>
  <c r="C23" i="27" a="1"/>
  <c r="C23" i="27" s="1"/>
  <c r="B23" i="27" a="1"/>
  <c r="B23" i="27" s="1"/>
  <c r="H22" i="27" a="1"/>
  <c r="H22" i="27" s="1"/>
  <c r="G22" i="27" a="1"/>
  <c r="G22" i="27" s="1"/>
  <c r="E22" i="27" a="1"/>
  <c r="E22" i="27" s="1"/>
  <c r="D22" i="27" a="1"/>
  <c r="D22" i="27" s="1"/>
  <c r="J22" i="27" a="1"/>
  <c r="J22" i="27" s="1"/>
  <c r="C22" i="27" a="1"/>
  <c r="C22" i="27" s="1"/>
  <c r="B22" i="27" a="1"/>
  <c r="B22" i="27" s="1"/>
  <c r="H21" i="27" a="1"/>
  <c r="H21" i="27" s="1"/>
  <c r="G21" i="27" a="1"/>
  <c r="G21" i="27" s="1"/>
  <c r="E21" i="27" a="1"/>
  <c r="E21" i="27" s="1"/>
  <c r="D21" i="27" a="1"/>
  <c r="D21" i="27" s="1"/>
  <c r="J21" i="27" a="1"/>
  <c r="J21" i="27" s="1"/>
  <c r="C21" i="27" a="1"/>
  <c r="C21" i="27" s="1"/>
  <c r="B21" i="27" a="1"/>
  <c r="B21" i="27" s="1"/>
  <c r="H20" i="27" a="1"/>
  <c r="H20" i="27" s="1"/>
  <c r="G20" i="27" a="1"/>
  <c r="G20" i="27" s="1"/>
  <c r="E20" i="27" a="1"/>
  <c r="E20" i="27" s="1"/>
  <c r="D20" i="27" a="1"/>
  <c r="D20" i="27" s="1"/>
  <c r="J20" i="27" a="1"/>
  <c r="J20" i="27" s="1"/>
  <c r="C20" i="27" a="1"/>
  <c r="C20" i="27" s="1"/>
  <c r="B20" i="27" a="1"/>
  <c r="B20" i="27" s="1"/>
  <c r="H19" i="27" a="1"/>
  <c r="H19" i="27" s="1"/>
  <c r="G19" i="27" a="1"/>
  <c r="G19" i="27" s="1"/>
  <c r="E19" i="27" a="1"/>
  <c r="E19" i="27" s="1"/>
  <c r="D19" i="27" a="1"/>
  <c r="D19" i="27" s="1"/>
  <c r="J19" i="27" a="1"/>
  <c r="J19" i="27" s="1"/>
  <c r="C19" i="27" a="1"/>
  <c r="C19" i="27" s="1"/>
  <c r="B19" i="27" a="1"/>
  <c r="B19" i="27" s="1"/>
  <c r="H18" i="27" a="1"/>
  <c r="H18" i="27" s="1"/>
  <c r="G18" i="27" a="1"/>
  <c r="G18" i="27" s="1"/>
  <c r="E18" i="27" a="1"/>
  <c r="E18" i="27" s="1"/>
  <c r="D18" i="27" a="1"/>
  <c r="D18" i="27" s="1"/>
  <c r="J18" i="27" a="1"/>
  <c r="J18" i="27" s="1"/>
  <c r="C18" i="27" a="1"/>
  <c r="C18" i="27" s="1"/>
  <c r="B18" i="27" a="1"/>
  <c r="B18" i="27" s="1"/>
  <c r="H17" i="27" a="1"/>
  <c r="H17" i="27" s="1"/>
  <c r="G17" i="27" a="1"/>
  <c r="G17" i="27" s="1"/>
  <c r="E17" i="27" a="1"/>
  <c r="E17" i="27" s="1"/>
  <c r="D17" i="27" a="1"/>
  <c r="D17" i="27" s="1"/>
  <c r="J17" i="27" a="1"/>
  <c r="J17" i="27" s="1"/>
  <c r="C17" i="27" a="1"/>
  <c r="C17" i="27" s="1"/>
  <c r="B17" i="27" a="1"/>
  <c r="B17" i="27" s="1"/>
  <c r="H16" i="27" a="1"/>
  <c r="H16" i="27" s="1"/>
  <c r="G16" i="27" a="1"/>
  <c r="G16" i="27" s="1"/>
  <c r="E16" i="27" a="1"/>
  <c r="E16" i="27" s="1"/>
  <c r="D16" i="27" a="1"/>
  <c r="D16" i="27" s="1"/>
  <c r="J16" i="27" a="1"/>
  <c r="J16" i="27" s="1"/>
  <c r="C16" i="27" a="1"/>
  <c r="C16" i="27" s="1"/>
  <c r="B16" i="27" a="1"/>
  <c r="B16" i="27" s="1"/>
  <c r="H15" i="27" a="1"/>
  <c r="H15" i="27" s="1"/>
  <c r="G15" i="27" a="1"/>
  <c r="G15" i="27" s="1"/>
  <c r="E15" i="27" a="1"/>
  <c r="E15" i="27" s="1"/>
  <c r="D15" i="27" a="1"/>
  <c r="D15" i="27" s="1"/>
  <c r="J15" i="27" a="1"/>
  <c r="J15" i="27" s="1"/>
  <c r="C15" i="27" a="1"/>
  <c r="C15" i="27" s="1"/>
  <c r="B15" i="27" a="1"/>
  <c r="B15" i="27" s="1"/>
  <c r="H14" i="27" a="1"/>
  <c r="H14" i="27" s="1"/>
  <c r="G14" i="27" a="1"/>
  <c r="G14" i="27" s="1"/>
  <c r="E14" i="27" a="1"/>
  <c r="E14" i="27" s="1"/>
  <c r="D14" i="27" a="1"/>
  <c r="D14" i="27" s="1"/>
  <c r="J14" i="27" a="1"/>
  <c r="J14" i="27" s="1"/>
  <c r="C14" i="27" a="1"/>
  <c r="C14" i="27" s="1"/>
  <c r="B14" i="27" a="1"/>
  <c r="B14" i="27" s="1"/>
  <c r="H13" i="27" a="1"/>
  <c r="H13" i="27" s="1"/>
  <c r="G13" i="27" a="1"/>
  <c r="G13" i="27" s="1"/>
  <c r="E13" i="27" a="1"/>
  <c r="E13" i="27" s="1"/>
  <c r="D13" i="27" a="1"/>
  <c r="D13" i="27" s="1"/>
  <c r="J13" i="27" a="1"/>
  <c r="J13" i="27" s="1"/>
  <c r="C13" i="27" a="1"/>
  <c r="C13" i="27" s="1"/>
  <c r="B13" i="27" a="1"/>
  <c r="B13" i="27" s="1"/>
  <c r="H12" i="27" a="1"/>
  <c r="H12" i="27" s="1"/>
  <c r="G12" i="27" a="1"/>
  <c r="G12" i="27" s="1"/>
  <c r="E12" i="27" a="1"/>
  <c r="E12" i="27" s="1"/>
  <c r="D12" i="27" a="1"/>
  <c r="D12" i="27" s="1"/>
  <c r="J12" i="27" a="1"/>
  <c r="J12" i="27" s="1"/>
  <c r="C12" i="27" a="1"/>
  <c r="C12" i="27" s="1"/>
  <c r="B12" i="27" a="1"/>
  <c r="B12" i="27" s="1"/>
  <c r="H11" i="27" a="1"/>
  <c r="H11" i="27" s="1"/>
  <c r="G11" i="27" a="1"/>
  <c r="G11" i="27" s="1"/>
  <c r="E11" i="27" a="1"/>
  <c r="E11" i="27" s="1"/>
  <c r="D11" i="27" a="1"/>
  <c r="D11" i="27" s="1"/>
  <c r="J11" i="27" a="1"/>
  <c r="J11" i="27" s="1"/>
  <c r="C11" i="27" a="1"/>
  <c r="C11" i="27" s="1"/>
  <c r="B11" i="27" a="1"/>
  <c r="B11" i="27" s="1"/>
  <c r="H10" i="27" a="1"/>
  <c r="H10" i="27" s="1"/>
  <c r="G10" i="27" a="1"/>
  <c r="G10" i="27" s="1"/>
  <c r="E10" i="27" a="1"/>
  <c r="E10" i="27" s="1"/>
  <c r="D10" i="27" a="1"/>
  <c r="D10" i="27" s="1"/>
  <c r="J10" i="27" a="1"/>
  <c r="J10" i="27" s="1"/>
  <c r="C10" i="27" a="1"/>
  <c r="C10" i="27" s="1"/>
  <c r="B10" i="27" a="1"/>
  <c r="B10" i="27" s="1"/>
  <c r="H9" i="27" a="1"/>
  <c r="H9" i="27" s="1"/>
  <c r="G9" i="27" a="1"/>
  <c r="G9" i="27" s="1"/>
  <c r="E9" i="27" a="1"/>
  <c r="E9" i="27" s="1"/>
  <c r="D9" i="27" a="1"/>
  <c r="D9" i="27" s="1"/>
  <c r="J9" i="27" a="1"/>
  <c r="J9" i="27" s="1"/>
  <c r="C9" i="27" a="1"/>
  <c r="C9" i="27" s="1"/>
  <c r="B9" i="27" a="1"/>
  <c r="B9" i="27" s="1"/>
  <c r="H8" i="27" a="1"/>
  <c r="H8" i="27" s="1"/>
  <c r="G8" i="27" a="1"/>
  <c r="G8" i="27" s="1"/>
  <c r="E8" i="27" a="1"/>
  <c r="E8" i="27" s="1"/>
  <c r="D8" i="27" a="1"/>
  <c r="D8" i="27" s="1"/>
  <c r="J8" i="27" a="1"/>
  <c r="J8" i="27" s="1"/>
  <c r="C8" i="27" a="1"/>
  <c r="C8" i="27" s="1"/>
  <c r="B8" i="27" a="1"/>
  <c r="B8" i="27" s="1"/>
  <c r="H7" i="27" a="1"/>
  <c r="H7" i="27" s="1"/>
  <c r="G7" i="27" a="1"/>
  <c r="G7" i="27" s="1"/>
  <c r="E7" i="27" a="1"/>
  <c r="E7" i="27" s="1"/>
  <c r="D7" i="27" a="1"/>
  <c r="D7" i="27" s="1"/>
  <c r="J7" i="27" a="1"/>
  <c r="J7" i="27" s="1"/>
  <c r="C7" i="27" a="1"/>
  <c r="C7" i="27" s="1"/>
  <c r="B7" i="27" a="1"/>
  <c r="B7" i="27" s="1"/>
  <c r="H6" i="27" a="1"/>
  <c r="H6" i="27" s="1"/>
  <c r="G6" i="27" a="1"/>
  <c r="G6" i="27" s="1"/>
  <c r="E6" i="27" a="1"/>
  <c r="E6" i="27" s="1"/>
  <c r="D6" i="27" a="1"/>
  <c r="D6" i="27" s="1"/>
  <c r="J6" i="27" a="1"/>
  <c r="J6" i="27" s="1"/>
  <c r="C6" i="27" a="1"/>
  <c r="C6" i="27" s="1"/>
  <c r="B6" i="27" a="1"/>
  <c r="B6" i="27" s="1"/>
  <c r="H5" i="27" a="1"/>
  <c r="H5" i="27" s="1"/>
  <c r="G5" i="27" a="1"/>
  <c r="G5" i="27" s="1"/>
  <c r="E5" i="27" a="1"/>
  <c r="E5" i="27" s="1"/>
  <c r="D5" i="27" a="1"/>
  <c r="D5" i="27" s="1"/>
  <c r="J5" i="27" a="1"/>
  <c r="J5" i="27" s="1"/>
  <c r="C5" i="27" a="1"/>
  <c r="C5" i="27" s="1"/>
  <c r="B5" i="27" a="1"/>
  <c r="B5" i="27" s="1"/>
  <c r="H4" i="27" a="1"/>
  <c r="H4" i="27" s="1"/>
  <c r="G4" i="27" a="1"/>
  <c r="G4" i="27" s="1"/>
  <c r="E4" i="27" a="1"/>
  <c r="E4" i="27" s="1"/>
  <c r="D4" i="27" a="1"/>
  <c r="D4" i="27" s="1"/>
  <c r="J4" i="27" a="1"/>
  <c r="J4" i="27" s="1"/>
  <c r="C4" i="27" a="1"/>
  <c r="C4" i="27" s="1"/>
  <c r="B4" i="27" a="1"/>
  <c r="B4" i="27" s="1"/>
  <c r="H3" i="27" a="1"/>
  <c r="H3" i="27" s="1"/>
  <c r="G3" i="27" a="1"/>
  <c r="G3" i="27" s="1"/>
  <c r="E3" i="27" a="1"/>
  <c r="E3" i="27" s="1"/>
  <c r="D3" i="27" a="1"/>
  <c r="D3" i="27" s="1"/>
  <c r="J3" i="27" a="1"/>
  <c r="J3" i="27" s="1"/>
  <c r="C3" i="27" a="1"/>
  <c r="C3" i="27" s="1"/>
  <c r="B3" i="27" a="1"/>
  <c r="B3" i="27" s="1"/>
  <c r="H2" i="27" a="1"/>
  <c r="H2" i="27" s="1"/>
  <c r="G2" i="27" a="1"/>
  <c r="G2" i="27" s="1"/>
  <c r="E2" i="27" a="1"/>
  <c r="E2" i="27" s="1"/>
  <c r="D2" i="27" a="1"/>
  <c r="D2" i="27" s="1"/>
  <c r="J2" i="27" a="1"/>
  <c r="J2" i="27" s="1"/>
  <c r="C2" i="27" a="1"/>
  <c r="C2" i="27" s="1"/>
  <c r="B2" i="27" a="1"/>
  <c r="B2" i="27" s="1"/>
  <c r="H25" i="26" a="1"/>
  <c r="H25" i="26" s="1"/>
  <c r="G25" i="26" a="1"/>
  <c r="G25" i="26" s="1"/>
  <c r="E25" i="26" a="1"/>
  <c r="E25" i="26" s="1"/>
  <c r="D25" i="26" a="1"/>
  <c r="D25" i="26" s="1"/>
  <c r="J25" i="26" a="1"/>
  <c r="J25" i="26" s="1"/>
  <c r="C25" i="26" a="1"/>
  <c r="C25" i="26" s="1"/>
  <c r="B25" i="26" a="1"/>
  <c r="B25" i="26" s="1"/>
  <c r="H24" i="26" a="1"/>
  <c r="H24" i="26" s="1"/>
  <c r="G24" i="26" a="1"/>
  <c r="G24" i="26" s="1"/>
  <c r="E24" i="26" a="1"/>
  <c r="E24" i="26" s="1"/>
  <c r="D24" i="26" a="1"/>
  <c r="D24" i="26" s="1"/>
  <c r="J24" i="26" a="1"/>
  <c r="J24" i="26" s="1"/>
  <c r="C24" i="26" a="1"/>
  <c r="C24" i="26" s="1"/>
  <c r="B24" i="26" a="1"/>
  <c r="B24" i="26" s="1"/>
  <c r="H23" i="26" a="1"/>
  <c r="H23" i="26" s="1"/>
  <c r="G23" i="26" a="1"/>
  <c r="G23" i="26" s="1"/>
  <c r="E23" i="26" a="1"/>
  <c r="E23" i="26" s="1"/>
  <c r="D23" i="26" a="1"/>
  <c r="D23" i="26" s="1"/>
  <c r="J23" i="26" a="1"/>
  <c r="J23" i="26" s="1"/>
  <c r="C23" i="26" a="1"/>
  <c r="C23" i="26" s="1"/>
  <c r="B23" i="26" a="1"/>
  <c r="B23" i="26" s="1"/>
  <c r="H22" i="26" a="1"/>
  <c r="H22" i="26" s="1"/>
  <c r="G22" i="26" a="1"/>
  <c r="G22" i="26" s="1"/>
  <c r="E22" i="26" a="1"/>
  <c r="E22" i="26" s="1"/>
  <c r="D22" i="26" a="1"/>
  <c r="D22" i="26" s="1"/>
  <c r="J22" i="26" a="1"/>
  <c r="J22" i="26" s="1"/>
  <c r="C22" i="26" a="1"/>
  <c r="C22" i="26" s="1"/>
  <c r="B22" i="26" a="1"/>
  <c r="B22" i="26" s="1"/>
  <c r="H21" i="26" a="1"/>
  <c r="H21" i="26" s="1"/>
  <c r="G21" i="26" a="1"/>
  <c r="G21" i="26" s="1"/>
  <c r="E21" i="26" a="1"/>
  <c r="E21" i="26" s="1"/>
  <c r="D21" i="26" a="1"/>
  <c r="D21" i="26" s="1"/>
  <c r="J21" i="26" a="1"/>
  <c r="J21" i="26" s="1"/>
  <c r="C21" i="26" a="1"/>
  <c r="C21" i="26" s="1"/>
  <c r="B21" i="26" a="1"/>
  <c r="B21" i="26" s="1"/>
  <c r="H20" i="26" a="1"/>
  <c r="H20" i="26" s="1"/>
  <c r="G20" i="26" a="1"/>
  <c r="G20" i="26" s="1"/>
  <c r="E20" i="26" a="1"/>
  <c r="E20" i="26" s="1"/>
  <c r="D20" i="26" a="1"/>
  <c r="D20" i="26" s="1"/>
  <c r="J20" i="26" a="1"/>
  <c r="J20" i="26" s="1"/>
  <c r="C20" i="26" a="1"/>
  <c r="C20" i="26" s="1"/>
  <c r="B20" i="26" a="1"/>
  <c r="B20" i="26" s="1"/>
  <c r="H19" i="26" a="1"/>
  <c r="H19" i="26" s="1"/>
  <c r="G19" i="26" a="1"/>
  <c r="G19" i="26" s="1"/>
  <c r="E19" i="26" a="1"/>
  <c r="E19" i="26" s="1"/>
  <c r="D19" i="26" a="1"/>
  <c r="D19" i="26" s="1"/>
  <c r="J19" i="26" a="1"/>
  <c r="J19" i="26" s="1"/>
  <c r="C19" i="26" a="1"/>
  <c r="C19" i="26" s="1"/>
  <c r="B19" i="26" a="1"/>
  <c r="B19" i="26" s="1"/>
  <c r="H18" i="26" a="1"/>
  <c r="H18" i="26" s="1"/>
  <c r="G18" i="26" a="1"/>
  <c r="G18" i="26" s="1"/>
  <c r="E18" i="26" a="1"/>
  <c r="E18" i="26" s="1"/>
  <c r="D18" i="26" a="1"/>
  <c r="D18" i="26" s="1"/>
  <c r="J18" i="26" a="1"/>
  <c r="J18" i="26" s="1"/>
  <c r="C18" i="26" a="1"/>
  <c r="C18" i="26" s="1"/>
  <c r="B18" i="26" a="1"/>
  <c r="B18" i="26" s="1"/>
  <c r="H17" i="26" a="1"/>
  <c r="H17" i="26" s="1"/>
  <c r="G17" i="26" a="1"/>
  <c r="G17" i="26" s="1"/>
  <c r="E17" i="26" a="1"/>
  <c r="E17" i="26" s="1"/>
  <c r="D17" i="26" a="1"/>
  <c r="D17" i="26" s="1"/>
  <c r="J17" i="26" a="1"/>
  <c r="J17" i="26" s="1"/>
  <c r="C17" i="26" a="1"/>
  <c r="C17" i="26" s="1"/>
  <c r="B17" i="26" a="1"/>
  <c r="B17" i="26" s="1"/>
  <c r="H16" i="26" a="1"/>
  <c r="H16" i="26" s="1"/>
  <c r="E16" i="26" a="1"/>
  <c r="E16" i="26" s="1"/>
  <c r="D16" i="26" a="1"/>
  <c r="D16" i="26" s="1"/>
  <c r="J16" i="26" a="1"/>
  <c r="J16" i="26" s="1"/>
  <c r="C16" i="26" a="1"/>
  <c r="C16" i="26" s="1"/>
  <c r="B16" i="26" a="1"/>
  <c r="B16" i="26" s="1"/>
  <c r="H15" i="26" a="1"/>
  <c r="H15" i="26" s="1"/>
  <c r="G15" i="26" a="1"/>
  <c r="G15" i="26" s="1"/>
  <c r="E15" i="26" a="1"/>
  <c r="E15" i="26" s="1"/>
  <c r="D15" i="26" a="1"/>
  <c r="D15" i="26" s="1"/>
  <c r="J15" i="26" a="1"/>
  <c r="J15" i="26" s="1"/>
  <c r="C15" i="26" a="1"/>
  <c r="C15" i="26" s="1"/>
  <c r="B15" i="26" a="1"/>
  <c r="B15" i="26" s="1"/>
  <c r="H14" i="26" a="1"/>
  <c r="H14" i="26" s="1"/>
  <c r="G14" i="26" a="1"/>
  <c r="G14" i="26" s="1"/>
  <c r="E14" i="26" a="1"/>
  <c r="E14" i="26" s="1"/>
  <c r="D14" i="26" a="1"/>
  <c r="D14" i="26" s="1"/>
  <c r="J14" i="26" a="1"/>
  <c r="J14" i="26" s="1"/>
  <c r="C14" i="26" a="1"/>
  <c r="C14" i="26" s="1"/>
  <c r="B14" i="26" a="1"/>
  <c r="B14" i="26" s="1"/>
  <c r="H13" i="26" a="1"/>
  <c r="H13" i="26" s="1"/>
  <c r="G13" i="26" a="1"/>
  <c r="G13" i="26" s="1"/>
  <c r="E13" i="26" a="1"/>
  <c r="E13" i="26" s="1"/>
  <c r="D13" i="26" a="1"/>
  <c r="D13" i="26" s="1"/>
  <c r="J13" i="26" a="1"/>
  <c r="J13" i="26" s="1"/>
  <c r="C13" i="26" a="1"/>
  <c r="C13" i="26" s="1"/>
  <c r="B13" i="26" a="1"/>
  <c r="B13" i="26" s="1"/>
  <c r="H12" i="26" a="1"/>
  <c r="H12" i="26" s="1"/>
  <c r="G12" i="26" a="1"/>
  <c r="G12" i="26" s="1"/>
  <c r="E12" i="26" a="1"/>
  <c r="E12" i="26" s="1"/>
  <c r="D12" i="26" a="1"/>
  <c r="D12" i="26" s="1"/>
  <c r="J12" i="26" a="1"/>
  <c r="J12" i="26" s="1"/>
  <c r="C12" i="26" a="1"/>
  <c r="C12" i="26" s="1"/>
  <c r="B12" i="26" a="1"/>
  <c r="B12" i="26" s="1"/>
  <c r="H11" i="26" a="1"/>
  <c r="H11" i="26" s="1"/>
  <c r="G11" i="26" a="1"/>
  <c r="G11" i="26" s="1"/>
  <c r="E11" i="26" a="1"/>
  <c r="E11" i="26" s="1"/>
  <c r="D11" i="26" a="1"/>
  <c r="D11" i="26" s="1"/>
  <c r="J11" i="26" a="1"/>
  <c r="J11" i="26" s="1"/>
  <c r="C11" i="26" a="1"/>
  <c r="C11" i="26" s="1"/>
  <c r="B11" i="26" a="1"/>
  <c r="B11" i="26" s="1"/>
  <c r="H10" i="26" a="1"/>
  <c r="H10" i="26" s="1"/>
  <c r="G10" i="26" a="1"/>
  <c r="G10" i="26" s="1"/>
  <c r="E10" i="26" a="1"/>
  <c r="E10" i="26" s="1"/>
  <c r="D10" i="26" a="1"/>
  <c r="D10" i="26" s="1"/>
  <c r="J10" i="26" a="1"/>
  <c r="J10" i="26" s="1"/>
  <c r="C10" i="26" a="1"/>
  <c r="C10" i="26" s="1"/>
  <c r="B10" i="26" a="1"/>
  <c r="B10" i="26" s="1"/>
  <c r="H9" i="26" a="1"/>
  <c r="H9" i="26" s="1"/>
  <c r="G9" i="26" a="1"/>
  <c r="G9" i="26" s="1"/>
  <c r="E9" i="26" a="1"/>
  <c r="E9" i="26" s="1"/>
  <c r="D9" i="26" a="1"/>
  <c r="D9" i="26" s="1"/>
  <c r="J9" i="26" a="1"/>
  <c r="J9" i="26" s="1"/>
  <c r="C9" i="26" a="1"/>
  <c r="C9" i="26" s="1"/>
  <c r="B9" i="26" a="1"/>
  <c r="B9" i="26" s="1"/>
  <c r="H8" i="26" a="1"/>
  <c r="H8" i="26" s="1"/>
  <c r="G8" i="26" a="1"/>
  <c r="G8" i="26" s="1"/>
  <c r="E8" i="26" a="1"/>
  <c r="E8" i="26" s="1"/>
  <c r="D8" i="26" a="1"/>
  <c r="D8" i="26" s="1"/>
  <c r="J8" i="26" a="1"/>
  <c r="J8" i="26" s="1"/>
  <c r="C8" i="26" a="1"/>
  <c r="C8" i="26" s="1"/>
  <c r="B8" i="26" a="1"/>
  <c r="B8" i="26" s="1"/>
  <c r="H7" i="26" a="1"/>
  <c r="H7" i="26" s="1"/>
  <c r="G7" i="26" a="1"/>
  <c r="G7" i="26" s="1"/>
  <c r="E7" i="26" a="1"/>
  <c r="E7" i="26" s="1"/>
  <c r="D7" i="26" a="1"/>
  <c r="D7" i="26" s="1"/>
  <c r="J7" i="26" a="1"/>
  <c r="J7" i="26" s="1"/>
  <c r="C7" i="26" a="1"/>
  <c r="C7" i="26" s="1"/>
  <c r="B7" i="26" a="1"/>
  <c r="B7" i="26" s="1"/>
  <c r="H6" i="26" a="1"/>
  <c r="H6" i="26" s="1"/>
  <c r="G6" i="26" a="1"/>
  <c r="G6" i="26" s="1"/>
  <c r="E6" i="26" a="1"/>
  <c r="E6" i="26" s="1"/>
  <c r="D6" i="26" a="1"/>
  <c r="D6" i="26" s="1"/>
  <c r="J6" i="26" a="1"/>
  <c r="J6" i="26" s="1"/>
  <c r="C6" i="26" a="1"/>
  <c r="C6" i="26" s="1"/>
  <c r="B6" i="26" a="1"/>
  <c r="B6" i="26" s="1"/>
  <c r="H5" i="26" a="1"/>
  <c r="H5" i="26" s="1"/>
  <c r="G5" i="26" a="1"/>
  <c r="G5" i="26" s="1"/>
  <c r="E5" i="26" a="1"/>
  <c r="E5" i="26" s="1"/>
  <c r="D5" i="26" a="1"/>
  <c r="D5" i="26" s="1"/>
  <c r="J5" i="26" a="1"/>
  <c r="J5" i="26" s="1"/>
  <c r="C5" i="26" a="1"/>
  <c r="C5" i="26" s="1"/>
  <c r="B5" i="26" a="1"/>
  <c r="B5" i="26" s="1"/>
  <c r="H4" i="26" a="1"/>
  <c r="H4" i="26" s="1"/>
  <c r="G4" i="26" a="1"/>
  <c r="G4" i="26" s="1"/>
  <c r="E4" i="26" a="1"/>
  <c r="E4" i="26" s="1"/>
  <c r="D4" i="26" a="1"/>
  <c r="D4" i="26" s="1"/>
  <c r="J4" i="26" a="1"/>
  <c r="J4" i="26" s="1"/>
  <c r="C4" i="26" a="1"/>
  <c r="C4" i="26" s="1"/>
  <c r="B4" i="26" a="1"/>
  <c r="B4" i="26" s="1"/>
  <c r="H3" i="26" a="1"/>
  <c r="H3" i="26" s="1"/>
  <c r="G3" i="26" a="1"/>
  <c r="G3" i="26" s="1"/>
  <c r="E3" i="26" a="1"/>
  <c r="E3" i="26" s="1"/>
  <c r="D3" i="26" a="1"/>
  <c r="D3" i="26" s="1"/>
  <c r="J3" i="26" a="1"/>
  <c r="J3" i="26" s="1"/>
  <c r="C3" i="26" a="1"/>
  <c r="C3" i="26" s="1"/>
  <c r="B3" i="26" a="1"/>
  <c r="B3" i="26" s="1"/>
  <c r="H2" i="26" a="1"/>
  <c r="H2" i="26" s="1"/>
  <c r="G2" i="26" a="1"/>
  <c r="G2" i="26" s="1"/>
  <c r="E2" i="26" a="1"/>
  <c r="E2" i="26" s="1"/>
  <c r="D2" i="26" a="1"/>
  <c r="D2" i="26" s="1"/>
  <c r="J2" i="26" a="1"/>
  <c r="J2" i="26" s="1"/>
  <c r="C2" i="26" a="1"/>
  <c r="C2" i="26" s="1"/>
  <c r="B2" i="26" a="1"/>
  <c r="B2" i="26" s="1"/>
  <c r="P121" i="13"/>
  <c r="P120" i="13"/>
  <c r="P119" i="13"/>
  <c r="P118" i="13"/>
  <c r="P117" i="13"/>
  <c r="P116" i="13"/>
  <c r="P115" i="13"/>
  <c r="P114" i="13"/>
  <c r="P113" i="13"/>
  <c r="P112" i="13"/>
  <c r="P111" i="13"/>
  <c r="P81" i="13"/>
  <c r="P80" i="13"/>
  <c r="P79" i="13"/>
  <c r="P78" i="13"/>
  <c r="P77" i="13"/>
  <c r="P76" i="13"/>
  <c r="P75" i="13"/>
  <c r="P74" i="13"/>
  <c r="P73" i="13"/>
  <c r="P72" i="13"/>
  <c r="P71" i="13"/>
  <c r="P41" i="13"/>
  <c r="P40" i="13"/>
  <c r="P39" i="13"/>
  <c r="P38" i="13"/>
  <c r="P37" i="13"/>
  <c r="P36" i="13"/>
  <c r="P35" i="13"/>
  <c r="P34" i="13"/>
  <c r="P33" i="13"/>
  <c r="P32" i="13"/>
  <c r="P31" i="13"/>
  <c r="E26" i="23"/>
  <c r="F26" i="23" s="1"/>
  <c r="AW38" i="31" s="1"/>
  <c r="E25" i="23"/>
  <c r="F25" i="23" s="1"/>
  <c r="AN33" i="31" s="1"/>
  <c r="E16" i="23"/>
  <c r="F16" i="23" s="1"/>
  <c r="E15" i="23"/>
  <c r="F15" i="23" s="1"/>
  <c r="AN120" i="31" s="1"/>
  <c r="E6" i="23"/>
  <c r="F6" i="23" s="1"/>
  <c r="AW74" i="31" s="1"/>
  <c r="E5" i="23"/>
  <c r="F5" i="23" s="1"/>
  <c r="AN75" i="31" s="1"/>
  <c r="E26" i="22"/>
  <c r="E25" i="22"/>
  <c r="F25" i="22" s="1"/>
  <c r="AM39" i="31" s="1"/>
  <c r="E16" i="22"/>
  <c r="E15" i="22"/>
  <c r="F15" i="22" s="1"/>
  <c r="AM112" i="31" s="1"/>
  <c r="E6" i="22"/>
  <c r="E5" i="22"/>
  <c r="E26" i="21"/>
  <c r="E25" i="21"/>
  <c r="F25" i="21" s="1"/>
  <c r="AL38" i="31" s="1"/>
  <c r="E16" i="21"/>
  <c r="E15" i="21"/>
  <c r="F15" i="21" s="1"/>
  <c r="AL119" i="31" s="1"/>
  <c r="E6" i="21"/>
  <c r="E5" i="21"/>
  <c r="E26" i="20"/>
  <c r="E25" i="20"/>
  <c r="F25" i="20" s="1"/>
  <c r="E16" i="20"/>
  <c r="E15" i="20"/>
  <c r="F15" i="20" s="1"/>
  <c r="E6" i="20"/>
  <c r="E5" i="20"/>
  <c r="F5" i="20" s="1"/>
  <c r="D30" i="18"/>
  <c r="E30" i="18" s="1"/>
  <c r="AS112" i="31" s="1"/>
  <c r="D29" i="18"/>
  <c r="E29" i="18" s="1"/>
  <c r="AJ116" i="31" s="1"/>
  <c r="E28" i="18"/>
  <c r="E27" i="18"/>
  <c r="E26" i="18"/>
  <c r="E25" i="18"/>
  <c r="E24" i="18"/>
  <c r="E23" i="18"/>
  <c r="D20" i="18"/>
  <c r="E20" i="18" s="1"/>
  <c r="E18" i="18"/>
  <c r="E17" i="18"/>
  <c r="E16" i="18"/>
  <c r="E15" i="18"/>
  <c r="E14" i="18"/>
  <c r="E13" i="18"/>
  <c r="D10" i="18"/>
  <c r="E10" i="18" s="1"/>
  <c r="AS40" i="31" s="1"/>
  <c r="D9" i="18"/>
  <c r="E9" i="18" s="1"/>
  <c r="AJ36" i="31" s="1"/>
  <c r="E8" i="18"/>
  <c r="E7" i="18"/>
  <c r="E6" i="18"/>
  <c r="E5" i="18"/>
  <c r="E4" i="18"/>
  <c r="E3" i="18"/>
  <c r="D31" i="17"/>
  <c r="E31" i="17" s="1"/>
  <c r="AR36" i="31" s="1"/>
  <c r="D30" i="17"/>
  <c r="E30" i="17" s="1"/>
  <c r="AI31" i="31" s="1"/>
  <c r="E29" i="17"/>
  <c r="E28" i="17"/>
  <c r="E27" i="17"/>
  <c r="E26" i="17"/>
  <c r="E25" i="17"/>
  <c r="E24" i="17"/>
  <c r="D21" i="17"/>
  <c r="E21" i="17" s="1"/>
  <c r="AR71" i="31" s="1"/>
  <c r="D20" i="17"/>
  <c r="E20" i="17" s="1"/>
  <c r="AI81" i="31" s="1"/>
  <c r="E19" i="17"/>
  <c r="E18" i="17"/>
  <c r="E17" i="17"/>
  <c r="E16" i="17"/>
  <c r="E15" i="17"/>
  <c r="E14" i="17"/>
  <c r="D11" i="17"/>
  <c r="E11" i="17" s="1"/>
  <c r="D10" i="17"/>
  <c r="E10" i="17" s="1"/>
  <c r="E32" i="16"/>
  <c r="F32" i="16" s="1"/>
  <c r="AP37" i="31" s="1"/>
  <c r="E31" i="16"/>
  <c r="F31" i="16" s="1"/>
  <c r="AG36" i="31" s="1"/>
  <c r="F30" i="16"/>
  <c r="F29" i="16"/>
  <c r="F28" i="16"/>
  <c r="F27" i="16"/>
  <c r="F26" i="16"/>
  <c r="F25" i="16"/>
  <c r="E22" i="16"/>
  <c r="F22" i="16" s="1"/>
  <c r="AP79" i="31" s="1"/>
  <c r="E21" i="16"/>
  <c r="F21" i="16" s="1"/>
  <c r="AG77" i="31" s="1"/>
  <c r="F20" i="16"/>
  <c r="F19" i="16"/>
  <c r="F18" i="16"/>
  <c r="F17" i="16"/>
  <c r="F16" i="16"/>
  <c r="F15" i="16"/>
  <c r="E12" i="16"/>
  <c r="F12" i="16" s="1"/>
  <c r="AP113" i="31" s="1"/>
  <c r="E11" i="16"/>
  <c r="F11" i="16" s="1"/>
  <c r="AG116" i="31" s="1"/>
  <c r="F10" i="16"/>
  <c r="F9" i="16"/>
  <c r="F8" i="16"/>
  <c r="F7" i="16"/>
  <c r="F6" i="16"/>
  <c r="F5" i="16"/>
  <c r="G138" i="15"/>
  <c r="E138" i="15"/>
  <c r="D138" i="15"/>
  <c r="B138" i="15"/>
  <c r="B137" i="15"/>
  <c r="D136" i="15"/>
  <c r="B136" i="15"/>
  <c r="I135" i="15"/>
  <c r="B135" i="15"/>
  <c r="E133" i="15"/>
  <c r="B133" i="15"/>
  <c r="B132" i="15"/>
  <c r="D131" i="15"/>
  <c r="B131" i="15"/>
  <c r="I130" i="15"/>
  <c r="C130" i="15"/>
  <c r="B130" i="15"/>
  <c r="G128" i="15"/>
  <c r="F128" i="15"/>
  <c r="E128" i="15"/>
  <c r="B128" i="15"/>
  <c r="B127" i="15"/>
  <c r="D126" i="15"/>
  <c r="B126" i="15"/>
  <c r="I125" i="15"/>
  <c r="E125" i="15"/>
  <c r="C125" i="15"/>
  <c r="B125" i="15"/>
  <c r="G123" i="15"/>
  <c r="B123" i="15"/>
  <c r="B122" i="15"/>
  <c r="F121" i="15"/>
  <c r="D121" i="15"/>
  <c r="B121" i="15"/>
  <c r="I120" i="15"/>
  <c r="G120" i="15"/>
  <c r="B120" i="15"/>
  <c r="E118" i="15"/>
  <c r="B118" i="15"/>
  <c r="E117" i="15"/>
  <c r="B117" i="15"/>
  <c r="B116" i="15"/>
  <c r="I115" i="15"/>
  <c r="C115" i="15"/>
  <c r="B115" i="15"/>
  <c r="E113" i="15"/>
  <c r="D113" i="15"/>
  <c r="C113" i="15"/>
  <c r="B113" i="15"/>
  <c r="B112" i="15"/>
  <c r="D111" i="15"/>
  <c r="B111" i="15"/>
  <c r="I110" i="15"/>
  <c r="F110" i="15"/>
  <c r="B110" i="15"/>
  <c r="B108" i="15"/>
  <c r="B107" i="15"/>
  <c r="E106" i="15"/>
  <c r="D106" i="15"/>
  <c r="B106" i="15"/>
  <c r="I105" i="15"/>
  <c r="F105" i="15"/>
  <c r="C105" i="15"/>
  <c r="B105" i="15"/>
  <c r="B103" i="15"/>
  <c r="G102" i="15"/>
  <c r="F102" i="15"/>
  <c r="B102" i="15"/>
  <c r="D101" i="15"/>
  <c r="B101" i="15"/>
  <c r="I100" i="15"/>
  <c r="G100" i="15"/>
  <c r="F100" i="15"/>
  <c r="D100" i="15"/>
  <c r="C100" i="15"/>
  <c r="B100" i="15"/>
  <c r="B98" i="15"/>
  <c r="G97" i="15"/>
  <c r="F97" i="15"/>
  <c r="B97" i="15"/>
  <c r="D96" i="15"/>
  <c r="B96" i="15"/>
  <c r="I95" i="15"/>
  <c r="G95" i="15"/>
  <c r="F95" i="15"/>
  <c r="C95" i="15"/>
  <c r="B95" i="15"/>
  <c r="C93" i="15"/>
  <c r="B93" i="15"/>
  <c r="B92" i="15"/>
  <c r="F91" i="15"/>
  <c r="E91" i="15"/>
  <c r="D91" i="15"/>
  <c r="B91" i="15"/>
  <c r="J90" i="15"/>
  <c r="J95" i="15" s="1"/>
  <c r="J100" i="15" s="1"/>
  <c r="J105" i="15" s="1"/>
  <c r="J110" i="15" s="1"/>
  <c r="J115" i="15" s="1"/>
  <c r="J120" i="15" s="1"/>
  <c r="J125" i="15" s="1"/>
  <c r="J130" i="15" s="1"/>
  <c r="J135" i="15" s="1"/>
  <c r="I90" i="15"/>
  <c r="G90" i="15"/>
  <c r="C90" i="15"/>
  <c r="B90" i="15"/>
  <c r="E88" i="15"/>
  <c r="D88" i="15"/>
  <c r="C88" i="15"/>
  <c r="B88" i="15"/>
  <c r="F87" i="15"/>
  <c r="B87" i="15"/>
  <c r="E86" i="15"/>
  <c r="D86" i="15"/>
  <c r="B86" i="15"/>
  <c r="F85" i="15"/>
  <c r="D85" i="15"/>
  <c r="B85" i="15"/>
  <c r="G64" i="15"/>
  <c r="G118" i="15" s="1"/>
  <c r="C64" i="15"/>
  <c r="G63" i="15"/>
  <c r="F63" i="15"/>
  <c r="F107" i="15" s="1"/>
  <c r="D63" i="15"/>
  <c r="G62" i="15"/>
  <c r="G101" i="15" s="1"/>
  <c r="E62" i="15"/>
  <c r="H61" i="15"/>
  <c r="H85" i="15" s="1"/>
  <c r="H135" i="15" s="1"/>
  <c r="G61" i="15"/>
  <c r="G85" i="15" s="1"/>
  <c r="G110" i="15" s="1"/>
  <c r="F61" i="15"/>
  <c r="E61" i="15"/>
  <c r="E85" i="15" s="1"/>
  <c r="D61" i="15"/>
  <c r="C61" i="15"/>
  <c r="C85" i="15" s="1"/>
  <c r="C135" i="15" s="1"/>
  <c r="D57" i="15"/>
  <c r="D56" i="15"/>
  <c r="E55" i="15" s="1"/>
  <c r="H64" i="15" s="1"/>
  <c r="E54" i="15"/>
  <c r="E53" i="15"/>
  <c r="F64" i="15" s="1"/>
  <c r="E52" i="15"/>
  <c r="E64" i="15" s="1"/>
  <c r="E123" i="15" s="1"/>
  <c r="E51" i="15"/>
  <c r="D64" i="15" s="1"/>
  <c r="D108" i="15" s="1"/>
  <c r="E50" i="15"/>
  <c r="D44" i="15"/>
  <c r="D43" i="15"/>
  <c r="E41" i="15"/>
  <c r="E40" i="15"/>
  <c r="E39" i="15"/>
  <c r="E63" i="15" s="1"/>
  <c r="E38" i="15"/>
  <c r="E37" i="15"/>
  <c r="C63" i="15" s="1"/>
  <c r="D29" i="15"/>
  <c r="D28" i="15"/>
  <c r="E27" i="15" s="1"/>
  <c r="H62" i="15" s="1"/>
  <c r="E26" i="15"/>
  <c r="E25" i="15"/>
  <c r="F62" i="15" s="1"/>
  <c r="E24" i="15"/>
  <c r="E23" i="15"/>
  <c r="D62" i="15" s="1"/>
  <c r="D116" i="15" s="1"/>
  <c r="E22" i="15"/>
  <c r="C62" i="15" s="1"/>
  <c r="C111" i="15" s="1"/>
  <c r="G121" i="13"/>
  <c r="G120" i="13"/>
  <c r="G119" i="13"/>
  <c r="G118" i="13"/>
  <c r="G117" i="13"/>
  <c r="G116" i="13"/>
  <c r="G115" i="13"/>
  <c r="G114" i="13"/>
  <c r="G113" i="13"/>
  <c r="G112" i="13"/>
  <c r="G111" i="13"/>
  <c r="G81" i="13"/>
  <c r="F81" i="13"/>
  <c r="G80" i="13"/>
  <c r="F80" i="13"/>
  <c r="G79" i="13"/>
  <c r="F79" i="13"/>
  <c r="G78" i="13"/>
  <c r="F78" i="13"/>
  <c r="G77" i="13"/>
  <c r="F77" i="13"/>
  <c r="G76" i="13"/>
  <c r="G75" i="13"/>
  <c r="F75" i="13"/>
  <c r="G74" i="13"/>
  <c r="F74" i="13"/>
  <c r="G73" i="13"/>
  <c r="G72" i="13"/>
  <c r="F72" i="13"/>
  <c r="G71" i="13"/>
  <c r="F71" i="13"/>
  <c r="G41" i="13"/>
  <c r="G40" i="13"/>
  <c r="G39" i="13"/>
  <c r="G38" i="13"/>
  <c r="G37" i="13"/>
  <c r="G36" i="13"/>
  <c r="G35" i="13"/>
  <c r="G34" i="13"/>
  <c r="G33" i="13"/>
  <c r="G32" i="13"/>
  <c r="G31" i="13"/>
  <c r="C47" i="2"/>
  <c r="B47" i="2"/>
  <c r="E47" i="2" s="1"/>
  <c r="E46" i="2"/>
  <c r="C46" i="2"/>
  <c r="B46" i="2"/>
  <c r="D46" i="2" s="1"/>
  <c r="C45" i="2"/>
  <c r="B45" i="2"/>
  <c r="E45" i="2" s="1"/>
  <c r="B43" i="2"/>
  <c r="C40" i="2"/>
  <c r="B40" i="2"/>
  <c r="D40" i="2" s="1"/>
  <c r="C39" i="2"/>
  <c r="B39" i="2" s="1"/>
  <c r="C38" i="2"/>
  <c r="B38" i="2" s="1"/>
  <c r="B36" i="2"/>
  <c r="C33" i="2"/>
  <c r="B33" i="2" s="1"/>
  <c r="D32" i="2"/>
  <c r="C32" i="2"/>
  <c r="B32" i="2"/>
  <c r="E32" i="2" s="1"/>
  <c r="C31" i="2"/>
  <c r="B31" i="2"/>
  <c r="E31" i="2" s="1"/>
  <c r="B29" i="2"/>
  <c r="E25" i="2"/>
  <c r="D25" i="2"/>
  <c r="C25" i="2"/>
  <c r="B25" i="2"/>
  <c r="E24" i="2"/>
  <c r="C24" i="2"/>
  <c r="B24" i="2"/>
  <c r="D24" i="2" s="1"/>
  <c r="C23" i="2"/>
  <c r="B23" i="2"/>
  <c r="E23" i="2" s="1"/>
  <c r="B21" i="2"/>
  <c r="E17" i="2"/>
  <c r="C17" i="2"/>
  <c r="B17" i="2"/>
  <c r="D17" i="2" s="1"/>
  <c r="C16" i="2"/>
  <c r="B16" i="2"/>
  <c r="E16" i="2" s="1"/>
  <c r="C15" i="2"/>
  <c r="B15" i="2"/>
  <c r="E15" i="2" s="1"/>
  <c r="B13" i="2"/>
  <c r="C10" i="2"/>
  <c r="B10" i="2" s="1"/>
  <c r="C9" i="2"/>
  <c r="B9" i="2" s="1"/>
  <c r="C8" i="2"/>
  <c r="B8" i="2"/>
  <c r="E8" i="2" s="1"/>
  <c r="B6" i="2"/>
  <c r="AL118" i="31" l="1"/>
  <c r="AN31" i="31"/>
  <c r="AL32" i="31"/>
  <c r="AN32" i="31"/>
  <c r="AL111" i="31"/>
  <c r="AG117" i="31"/>
  <c r="AM117" i="31"/>
  <c r="AP118" i="31"/>
  <c r="AG112" i="31"/>
  <c r="AG119" i="31"/>
  <c r="AG114" i="31"/>
  <c r="AP121" i="31"/>
  <c r="AP114" i="31"/>
  <c r="AP112" i="31"/>
  <c r="AL116" i="31"/>
  <c r="AG121" i="31"/>
  <c r="AM114" i="31"/>
  <c r="AP111" i="31"/>
  <c r="AP116" i="31"/>
  <c r="AI116" i="31"/>
  <c r="AI118" i="31"/>
  <c r="AI111" i="31"/>
  <c r="AL113" i="31"/>
  <c r="AW120" i="31"/>
  <c r="F16" i="21"/>
  <c r="AU116" i="31" s="1"/>
  <c r="AL117" i="31"/>
  <c r="AG115" i="31"/>
  <c r="AG120" i="31"/>
  <c r="AP117" i="31"/>
  <c r="AW112" i="31"/>
  <c r="AP115" i="31"/>
  <c r="AP120" i="31"/>
  <c r="AL112" i="31"/>
  <c r="AG111" i="31"/>
  <c r="AG113" i="31"/>
  <c r="AG118" i="31"/>
  <c r="AW80" i="31"/>
  <c r="AN78" i="31"/>
  <c r="AW81" i="31"/>
  <c r="AW78" i="31"/>
  <c r="AN76" i="31"/>
  <c r="AW75" i="31"/>
  <c r="AW72" i="31"/>
  <c r="AW73" i="31"/>
  <c r="AN80" i="31"/>
  <c r="AN71" i="31"/>
  <c r="AW77" i="31"/>
  <c r="AR80" i="31"/>
  <c r="AI39" i="31"/>
  <c r="AG39" i="31"/>
  <c r="AS41" i="31"/>
  <c r="AL41" i="31"/>
  <c r="AL37" i="31"/>
  <c r="AN41" i="31"/>
  <c r="AM38" i="31"/>
  <c r="AG31" i="31"/>
  <c r="AL39" i="31"/>
  <c r="AJ31" i="31"/>
  <c r="AN34" i="31"/>
  <c r="AN39" i="31"/>
  <c r="AJ35" i="31"/>
  <c r="AI40" i="31"/>
  <c r="AL34" i="31"/>
  <c r="AL31" i="31"/>
  <c r="AS36" i="31"/>
  <c r="AG37" i="31"/>
  <c r="AG40" i="31"/>
  <c r="AN37" i="31"/>
  <c r="AG41" i="31"/>
  <c r="AL33" i="31"/>
  <c r="AI38" i="31"/>
  <c r="AI41" i="31"/>
  <c r="AW32" i="31"/>
  <c r="AW36" i="31"/>
  <c r="AW41" i="31"/>
  <c r="AW39" i="31"/>
  <c r="AW37" i="31"/>
  <c r="AW34" i="31"/>
  <c r="AW33" i="31"/>
  <c r="AW31" i="31"/>
  <c r="AW40" i="31"/>
  <c r="AW35" i="31"/>
  <c r="AN35" i="31"/>
  <c r="AN40" i="31"/>
  <c r="AN38" i="31"/>
  <c r="AN36" i="31"/>
  <c r="AM32" i="31"/>
  <c r="AM36" i="31"/>
  <c r="AM34" i="31"/>
  <c r="AM41" i="31"/>
  <c r="AM37" i="31"/>
  <c r="AM35" i="31"/>
  <c r="AM31" i="31"/>
  <c r="AM40" i="31"/>
  <c r="AM33" i="31"/>
  <c r="AL40" i="31"/>
  <c r="AL36" i="31"/>
  <c r="AL35" i="31"/>
  <c r="AS35" i="31"/>
  <c r="AS39" i="31"/>
  <c r="AS31" i="31"/>
  <c r="AS38" i="31"/>
  <c r="AS34" i="31"/>
  <c r="AS37" i="31"/>
  <c r="AS33" i="31"/>
  <c r="AS32" i="31"/>
  <c r="AJ41" i="31"/>
  <c r="AJ34" i="31"/>
  <c r="AJ40" i="31"/>
  <c r="AJ39" i="31"/>
  <c r="AJ38" i="31"/>
  <c r="AJ33" i="31"/>
  <c r="AJ37" i="31"/>
  <c r="AJ32" i="31"/>
  <c r="AR34" i="31"/>
  <c r="AR32" i="31"/>
  <c r="AR31" i="31"/>
  <c r="AR33" i="31"/>
  <c r="AR38" i="31"/>
  <c r="AR39" i="31"/>
  <c r="AR40" i="31"/>
  <c r="AR41" i="31"/>
  <c r="AR35" i="31"/>
  <c r="AR37" i="31"/>
  <c r="AI36" i="31"/>
  <c r="AI37" i="31"/>
  <c r="AI35" i="31"/>
  <c r="AI34" i="31"/>
  <c r="AI33" i="31"/>
  <c r="AI32" i="31"/>
  <c r="AP36" i="31"/>
  <c r="AP35" i="31"/>
  <c r="AP39" i="31"/>
  <c r="AP40" i="31"/>
  <c r="AP32" i="31"/>
  <c r="AP33" i="31"/>
  <c r="AP38" i="31"/>
  <c r="AP41" i="31"/>
  <c r="AP31" i="31"/>
  <c r="AP34" i="31"/>
  <c r="AG38" i="31"/>
  <c r="AG32" i="31"/>
  <c r="AG33" i="31"/>
  <c r="AG34" i="31"/>
  <c r="AG35" i="31"/>
  <c r="AW76" i="31"/>
  <c r="AW79" i="31"/>
  <c r="AW71" i="31"/>
  <c r="AN73" i="31"/>
  <c r="AN79" i="31"/>
  <c r="AN77" i="31"/>
  <c r="AN81" i="31"/>
  <c r="AN72" i="31"/>
  <c r="AN74" i="31"/>
  <c r="AS75" i="31"/>
  <c r="AS76" i="31"/>
  <c r="AS73" i="31"/>
  <c r="AS72" i="31"/>
  <c r="AS77" i="31"/>
  <c r="AS71" i="31"/>
  <c r="AS78" i="31"/>
  <c r="AS79" i="31"/>
  <c r="AS80" i="31"/>
  <c r="AS74" i="31"/>
  <c r="AS81" i="31"/>
  <c r="AR81" i="31"/>
  <c r="AR76" i="31"/>
  <c r="AR75" i="31"/>
  <c r="AR77" i="31"/>
  <c r="AR74" i="31"/>
  <c r="AR79" i="31"/>
  <c r="AR78" i="31"/>
  <c r="AR73" i="31"/>
  <c r="AR72" i="31"/>
  <c r="AI75" i="31"/>
  <c r="AI76" i="31"/>
  <c r="AI77" i="31"/>
  <c r="AI80" i="31"/>
  <c r="AI79" i="31"/>
  <c r="AI71" i="31"/>
  <c r="AI72" i="31"/>
  <c r="AI73" i="31"/>
  <c r="AI74" i="31"/>
  <c r="AI78" i="31"/>
  <c r="AP71" i="31"/>
  <c r="AP72" i="31"/>
  <c r="AP73" i="31"/>
  <c r="AP74" i="31"/>
  <c r="AP75" i="31"/>
  <c r="AP81" i="31"/>
  <c r="AP76" i="31"/>
  <c r="AP77" i="31"/>
  <c r="AP80" i="31"/>
  <c r="AP78" i="31"/>
  <c r="AG74" i="31"/>
  <c r="AG80" i="31"/>
  <c r="AG78" i="31"/>
  <c r="AG79" i="31"/>
  <c r="AG75" i="31"/>
  <c r="AG81" i="31"/>
  <c r="AG72" i="31"/>
  <c r="AG73" i="31"/>
  <c r="AG76" i="31"/>
  <c r="AG71" i="31"/>
  <c r="AN118" i="31"/>
  <c r="AW114" i="31"/>
  <c r="AW116" i="31"/>
  <c r="AW118" i="31"/>
  <c r="AW121" i="31"/>
  <c r="AW113" i="31"/>
  <c r="AW115" i="31"/>
  <c r="AW117" i="31"/>
  <c r="AW119" i="31"/>
  <c r="AW111" i="31"/>
  <c r="AN113" i="31"/>
  <c r="AN115" i="31"/>
  <c r="AN117" i="31"/>
  <c r="AN112" i="31"/>
  <c r="AN119" i="31"/>
  <c r="AN121" i="31"/>
  <c r="AN114" i="31"/>
  <c r="AN116" i="31"/>
  <c r="AN111" i="31"/>
  <c r="AM111" i="31"/>
  <c r="AM116" i="31"/>
  <c r="AM119" i="31"/>
  <c r="AM121" i="31"/>
  <c r="AM113" i="31"/>
  <c r="AM118" i="31"/>
  <c r="AM115" i="31"/>
  <c r="AM120" i="31"/>
  <c r="AU119" i="31"/>
  <c r="AL121" i="31"/>
  <c r="AL115" i="31"/>
  <c r="AL114" i="31"/>
  <c r="AL120" i="31"/>
  <c r="AU121" i="31"/>
  <c r="F16" i="20"/>
  <c r="AS111" i="31"/>
  <c r="AS121" i="31"/>
  <c r="AS120" i="31"/>
  <c r="AS119" i="31"/>
  <c r="AS117" i="31"/>
  <c r="AS116" i="31"/>
  <c r="AS115" i="31"/>
  <c r="AS114" i="31"/>
  <c r="AS118" i="31"/>
  <c r="AS113" i="31"/>
  <c r="AJ117" i="31"/>
  <c r="AJ120" i="31"/>
  <c r="AJ121" i="31"/>
  <c r="AJ114" i="31"/>
  <c r="AJ115" i="31"/>
  <c r="AJ118" i="31"/>
  <c r="AJ119" i="31"/>
  <c r="AJ111" i="31"/>
  <c r="AJ112" i="31"/>
  <c r="AJ113" i="31"/>
  <c r="AR119" i="31"/>
  <c r="AR118" i="31"/>
  <c r="AR112" i="31"/>
  <c r="AR120" i="31"/>
  <c r="AR117" i="31"/>
  <c r="AR114" i="31"/>
  <c r="AR121" i="31"/>
  <c r="AR116" i="31"/>
  <c r="AR115" i="31"/>
  <c r="AR113" i="31"/>
  <c r="AR111" i="31"/>
  <c r="AI117" i="31"/>
  <c r="AI113" i="31"/>
  <c r="AI114" i="31"/>
  <c r="AI121" i="31"/>
  <c r="AI112" i="31"/>
  <c r="AI119" i="31"/>
  <c r="AI120" i="31"/>
  <c r="AI115" i="31"/>
  <c r="AP119" i="31"/>
  <c r="F6" i="21"/>
  <c r="Q72" i="13" s="1"/>
  <c r="N115" i="13"/>
  <c r="N114" i="13"/>
  <c r="N113" i="13"/>
  <c r="N112" i="13"/>
  <c r="F16" i="22"/>
  <c r="R118" i="13" s="1"/>
  <c r="S115" i="13"/>
  <c r="S116" i="13"/>
  <c r="I121" i="13"/>
  <c r="I120" i="13"/>
  <c r="I113" i="13"/>
  <c r="I112" i="13"/>
  <c r="I114" i="13"/>
  <c r="I115" i="13"/>
  <c r="I116" i="13"/>
  <c r="I119" i="13"/>
  <c r="I111" i="13"/>
  <c r="I118" i="13"/>
  <c r="I117" i="13"/>
  <c r="E119" i="13"/>
  <c r="E111" i="13"/>
  <c r="E112" i="13"/>
  <c r="E120" i="13"/>
  <c r="E114" i="13"/>
  <c r="E113" i="13"/>
  <c r="E121" i="13"/>
  <c r="E115" i="13"/>
  <c r="E118" i="13"/>
  <c r="E116" i="13"/>
  <c r="E117" i="13"/>
  <c r="L116" i="13"/>
  <c r="L117" i="13"/>
  <c r="H120" i="13"/>
  <c r="H113" i="13"/>
  <c r="H112" i="13"/>
  <c r="H121" i="13"/>
  <c r="H119" i="13"/>
  <c r="H116" i="13"/>
  <c r="H118" i="13"/>
  <c r="H117" i="13"/>
  <c r="F119" i="13"/>
  <c r="F111" i="13"/>
  <c r="F113" i="13"/>
  <c r="F120" i="13"/>
  <c r="F114" i="13"/>
  <c r="F112" i="13"/>
  <c r="F115" i="13"/>
  <c r="F118" i="13"/>
  <c r="F116" i="13"/>
  <c r="J114" i="13"/>
  <c r="J113" i="13"/>
  <c r="J111" i="13"/>
  <c r="J112" i="13"/>
  <c r="S114" i="13"/>
  <c r="N111" i="13"/>
  <c r="Q112" i="13"/>
  <c r="S120" i="13"/>
  <c r="S112" i="13"/>
  <c r="S113" i="13"/>
  <c r="S111" i="13"/>
  <c r="N118" i="13"/>
  <c r="S119" i="13"/>
  <c r="N117" i="13"/>
  <c r="N116" i="13"/>
  <c r="S118" i="13"/>
  <c r="S117" i="13"/>
  <c r="F6" i="20"/>
  <c r="O76" i="13"/>
  <c r="O72" i="13"/>
  <c r="O75" i="13"/>
  <c r="O71" i="13"/>
  <c r="O74" i="13"/>
  <c r="O73" i="13"/>
  <c r="N75" i="13"/>
  <c r="N76" i="13"/>
  <c r="N80" i="13"/>
  <c r="N74" i="13"/>
  <c r="N72" i="13"/>
  <c r="N79" i="13"/>
  <c r="N81" i="13"/>
  <c r="N71" i="13"/>
  <c r="N77" i="13"/>
  <c r="F5" i="21"/>
  <c r="H78" i="13" s="1"/>
  <c r="F6" i="22"/>
  <c r="R78" i="13" s="1"/>
  <c r="E80" i="13"/>
  <c r="E71" i="13"/>
  <c r="E79" i="13"/>
  <c r="E73" i="13"/>
  <c r="E72" i="13"/>
  <c r="E75" i="13"/>
  <c r="E74" i="13"/>
  <c r="E76" i="13"/>
  <c r="E81" i="13"/>
  <c r="E77" i="13"/>
  <c r="E78" i="13"/>
  <c r="J72" i="13"/>
  <c r="J76" i="13"/>
  <c r="S77" i="13"/>
  <c r="S81" i="13"/>
  <c r="S74" i="13"/>
  <c r="C71" i="13"/>
  <c r="C75" i="13"/>
  <c r="C74" i="13"/>
  <c r="C73" i="13"/>
  <c r="C72" i="13"/>
  <c r="C77" i="13"/>
  <c r="C76" i="13"/>
  <c r="L74" i="13"/>
  <c r="L78" i="13"/>
  <c r="N78" i="13"/>
  <c r="F5" i="22"/>
  <c r="I80" i="13" s="1"/>
  <c r="O77" i="13"/>
  <c r="N73" i="13"/>
  <c r="N40" i="13"/>
  <c r="N31" i="13"/>
  <c r="N41" i="13"/>
  <c r="N38" i="13"/>
  <c r="E29" i="15"/>
  <c r="J62" i="15" s="1"/>
  <c r="J131" i="15" s="1"/>
  <c r="F26" i="21"/>
  <c r="H116" i="15"/>
  <c r="H121" i="15"/>
  <c r="F26" i="22"/>
  <c r="N35" i="13"/>
  <c r="N37" i="13"/>
  <c r="N39" i="13"/>
  <c r="N32" i="13"/>
  <c r="F26" i="20"/>
  <c r="N34" i="13"/>
  <c r="N36" i="13"/>
  <c r="I34" i="13"/>
  <c r="I31" i="13"/>
  <c r="I37" i="13"/>
  <c r="I32" i="13"/>
  <c r="I40" i="13"/>
  <c r="I33" i="13"/>
  <c r="I39" i="13"/>
  <c r="I41" i="13"/>
  <c r="I36" i="13"/>
  <c r="I38" i="13"/>
  <c r="I35" i="13"/>
  <c r="H38" i="13"/>
  <c r="H31" i="13"/>
  <c r="H34" i="13"/>
  <c r="H35" i="13"/>
  <c r="H32" i="13"/>
  <c r="H37" i="13"/>
  <c r="H33" i="13"/>
  <c r="H41" i="13"/>
  <c r="H36" i="13"/>
  <c r="H39" i="13"/>
  <c r="H40" i="13"/>
  <c r="C40" i="13"/>
  <c r="C39" i="13"/>
  <c r="C32" i="13"/>
  <c r="C38" i="13"/>
  <c r="C35" i="13"/>
  <c r="C34" i="13"/>
  <c r="C31" i="13"/>
  <c r="C37" i="13"/>
  <c r="C33" i="13"/>
  <c r="C41" i="13"/>
  <c r="C36" i="13"/>
  <c r="J39" i="13"/>
  <c r="J31" i="13"/>
  <c r="J37" i="13"/>
  <c r="J33" i="13"/>
  <c r="J36" i="13"/>
  <c r="J32" i="13"/>
  <c r="J40" i="13"/>
  <c r="J41" i="13"/>
  <c r="J35" i="13"/>
  <c r="J38" i="13"/>
  <c r="J34" i="13"/>
  <c r="S41" i="13"/>
  <c r="S36" i="13"/>
  <c r="S40" i="13"/>
  <c r="S39" i="13"/>
  <c r="S35" i="13"/>
  <c r="S32" i="13"/>
  <c r="S34" i="13"/>
  <c r="S38" i="13"/>
  <c r="S33" i="13"/>
  <c r="S37" i="13"/>
  <c r="S31" i="13"/>
  <c r="F32" i="13"/>
  <c r="F34" i="13"/>
  <c r="F39" i="13"/>
  <c r="F33" i="13"/>
  <c r="O39" i="13"/>
  <c r="O40" i="13"/>
  <c r="O34" i="13"/>
  <c r="L33" i="13"/>
  <c r="L37" i="13"/>
  <c r="L34" i="13"/>
  <c r="L41" i="13"/>
  <c r="L36" i="13"/>
  <c r="L38" i="13"/>
  <c r="L39" i="13"/>
  <c r="L35" i="13"/>
  <c r="L32" i="13"/>
  <c r="L40" i="13"/>
  <c r="L31" i="13"/>
  <c r="E31" i="13"/>
  <c r="E39" i="13"/>
  <c r="E32" i="13"/>
  <c r="N33" i="13"/>
  <c r="E28" i="15"/>
  <c r="I62" i="15" s="1"/>
  <c r="I106" i="15" s="1"/>
  <c r="E38" i="2"/>
  <c r="D38" i="2"/>
  <c r="C137" i="15"/>
  <c r="C112" i="15"/>
  <c r="C107" i="15"/>
  <c r="C102" i="15"/>
  <c r="C97" i="15"/>
  <c r="C92" i="15"/>
  <c r="C87" i="15"/>
  <c r="C117" i="15"/>
  <c r="C127" i="15"/>
  <c r="C122" i="15"/>
  <c r="C132" i="15"/>
  <c r="E39" i="2"/>
  <c r="D39" i="2"/>
  <c r="E9" i="2"/>
  <c r="D9" i="2"/>
  <c r="E10" i="2"/>
  <c r="D10" i="2"/>
  <c r="D33" i="2"/>
  <c r="E33" i="2"/>
  <c r="H72" i="13"/>
  <c r="J78" i="13"/>
  <c r="F136" i="15"/>
  <c r="F101" i="15"/>
  <c r="F96" i="15"/>
  <c r="F131" i="15"/>
  <c r="F126" i="15"/>
  <c r="F111" i="15"/>
  <c r="F86" i="15"/>
  <c r="F106" i="15"/>
  <c r="F116" i="15"/>
  <c r="D8" i="2"/>
  <c r="D15" i="2"/>
  <c r="E40" i="2"/>
  <c r="D47" i="2"/>
  <c r="G136" i="15"/>
  <c r="G131" i="15"/>
  <c r="G126" i="15"/>
  <c r="G121" i="15"/>
  <c r="G116" i="15"/>
  <c r="G111" i="15"/>
  <c r="G86" i="15"/>
  <c r="G106" i="15"/>
  <c r="G96" i="15"/>
  <c r="C121" i="13"/>
  <c r="C120" i="13"/>
  <c r="C119" i="13"/>
  <c r="C118" i="13"/>
  <c r="C117" i="13"/>
  <c r="C116" i="13"/>
  <c r="C115" i="13"/>
  <c r="C114" i="13"/>
  <c r="C113" i="13"/>
  <c r="C112" i="13"/>
  <c r="C111" i="13"/>
  <c r="L81" i="13"/>
  <c r="L80" i="13"/>
  <c r="L77" i="13"/>
  <c r="L79" i="13"/>
  <c r="L72" i="13"/>
  <c r="L76" i="13"/>
  <c r="L73" i="13"/>
  <c r="L75" i="13"/>
  <c r="L71" i="13"/>
  <c r="F41" i="13"/>
  <c r="F38" i="13"/>
  <c r="F40" i="13"/>
  <c r="F35" i="13"/>
  <c r="F36" i="13"/>
  <c r="H80" i="13"/>
  <c r="J79" i="13"/>
  <c r="J77" i="13"/>
  <c r="J74" i="13"/>
  <c r="J71" i="13"/>
  <c r="J75" i="13"/>
  <c r="J81" i="13"/>
  <c r="J80" i="13"/>
  <c r="D23" i="2"/>
  <c r="J73" i="13"/>
  <c r="D31" i="2"/>
  <c r="H113" i="15"/>
  <c r="AC116" i="31" s="1"/>
  <c r="AF116" i="31" s="1"/>
  <c r="H108" i="15"/>
  <c r="AC115" i="31" s="1"/>
  <c r="AF115" i="31" s="1"/>
  <c r="H103" i="15"/>
  <c r="AC114" i="31" s="1"/>
  <c r="AF114" i="31" s="1"/>
  <c r="H98" i="15"/>
  <c r="AC113" i="31" s="1"/>
  <c r="AF113" i="31" s="1"/>
  <c r="H93" i="15"/>
  <c r="AC112" i="31" s="1"/>
  <c r="AF112" i="31" s="1"/>
  <c r="H88" i="15"/>
  <c r="AC111" i="31" s="1"/>
  <c r="AF111" i="31" s="1"/>
  <c r="H128" i="15"/>
  <c r="AC119" i="31" s="1"/>
  <c r="AF119" i="31" s="1"/>
  <c r="H133" i="15"/>
  <c r="AC120" i="31" s="1"/>
  <c r="AF120" i="31" s="1"/>
  <c r="H118" i="15"/>
  <c r="AC117" i="31" s="1"/>
  <c r="AF117" i="31" s="1"/>
  <c r="H123" i="15"/>
  <c r="AC118" i="31" s="1"/>
  <c r="AF118" i="31" s="1"/>
  <c r="D137" i="15"/>
  <c r="D112" i="15"/>
  <c r="D107" i="15"/>
  <c r="D102" i="15"/>
  <c r="D97" i="15"/>
  <c r="D92" i="15"/>
  <c r="D87" i="15"/>
  <c r="D132" i="15"/>
  <c r="D117" i="15"/>
  <c r="D122" i="15"/>
  <c r="D127" i="15"/>
  <c r="L113" i="13"/>
  <c r="L119" i="13"/>
  <c r="L114" i="13"/>
  <c r="L112" i="13"/>
  <c r="L111" i="13"/>
  <c r="L115" i="13"/>
  <c r="L120" i="13"/>
  <c r="L118" i="13"/>
  <c r="L121" i="13"/>
  <c r="E37" i="13"/>
  <c r="E36" i="13"/>
  <c r="E35" i="13"/>
  <c r="E34" i="13"/>
  <c r="E33" i="13"/>
  <c r="E38" i="13"/>
  <c r="E40" i="13"/>
  <c r="E41" i="13"/>
  <c r="O41" i="13"/>
  <c r="O35" i="13"/>
  <c r="O36" i="13"/>
  <c r="O37" i="13"/>
  <c r="O38" i="13"/>
  <c r="O32" i="13"/>
  <c r="O31" i="13"/>
  <c r="O33" i="13"/>
  <c r="R81" i="13"/>
  <c r="S80" i="13"/>
  <c r="S76" i="13"/>
  <c r="S73" i="13"/>
  <c r="S78" i="13"/>
  <c r="S75" i="13"/>
  <c r="S71" i="13"/>
  <c r="S72" i="13"/>
  <c r="S79" i="13"/>
  <c r="E56" i="15"/>
  <c r="I64" i="15" s="1"/>
  <c r="D16" i="2"/>
  <c r="D45" i="2"/>
  <c r="E137" i="15"/>
  <c r="E112" i="15"/>
  <c r="E107" i="15"/>
  <c r="E102" i="15"/>
  <c r="E97" i="15"/>
  <c r="E92" i="15"/>
  <c r="E87" i="15"/>
  <c r="E132" i="15"/>
  <c r="E127" i="15"/>
  <c r="E122" i="15"/>
  <c r="E57" i="15"/>
  <c r="J64" i="15" s="1"/>
  <c r="H138" i="15"/>
  <c r="AC121" i="31" s="1"/>
  <c r="AF121" i="31" s="1"/>
  <c r="F31" i="13"/>
  <c r="F37" i="13"/>
  <c r="C136" i="15"/>
  <c r="C131" i="15"/>
  <c r="C126" i="15"/>
  <c r="C121" i="15"/>
  <c r="C116" i="15"/>
  <c r="C106" i="15"/>
  <c r="C86" i="15"/>
  <c r="C101" i="15"/>
  <c r="C96" i="15"/>
  <c r="C91" i="15"/>
  <c r="G91" i="15"/>
  <c r="F113" i="15"/>
  <c r="F108" i="15"/>
  <c r="F103" i="15"/>
  <c r="F98" i="15"/>
  <c r="F93" i="15"/>
  <c r="F88" i="15"/>
  <c r="F138" i="15"/>
  <c r="F123" i="15"/>
  <c r="F133" i="15"/>
  <c r="E136" i="15"/>
  <c r="E131" i="15"/>
  <c r="E126" i="15"/>
  <c r="E121" i="15"/>
  <c r="E116" i="15"/>
  <c r="E101" i="15"/>
  <c r="E96" i="15"/>
  <c r="D93" i="15"/>
  <c r="D135" i="15"/>
  <c r="D130" i="15"/>
  <c r="D125" i="15"/>
  <c r="D120" i="15"/>
  <c r="D95" i="15"/>
  <c r="D115" i="15"/>
  <c r="D110" i="15"/>
  <c r="D90" i="15"/>
  <c r="E93" i="15"/>
  <c r="H100" i="15"/>
  <c r="E103" i="15"/>
  <c r="D128" i="15"/>
  <c r="G132" i="15"/>
  <c r="G127" i="15"/>
  <c r="G122" i="15"/>
  <c r="G112" i="15"/>
  <c r="G92" i="15"/>
  <c r="G137" i="15"/>
  <c r="G117" i="15"/>
  <c r="G107" i="15"/>
  <c r="G87" i="15"/>
  <c r="H95" i="15"/>
  <c r="D105" i="15"/>
  <c r="E111" i="15"/>
  <c r="F118" i="15"/>
  <c r="H115" i="13"/>
  <c r="H114" i="13"/>
  <c r="H111" i="13"/>
  <c r="J121" i="13"/>
  <c r="J120" i="13"/>
  <c r="J119" i="13"/>
  <c r="J118" i="13"/>
  <c r="J117" i="13"/>
  <c r="J116" i="13"/>
  <c r="J115" i="13"/>
  <c r="E43" i="15"/>
  <c r="I63" i="15" s="1"/>
  <c r="E42" i="15"/>
  <c r="H63" i="15" s="1"/>
  <c r="E135" i="15"/>
  <c r="E130" i="15"/>
  <c r="E110" i="15"/>
  <c r="E105" i="15"/>
  <c r="E100" i="15"/>
  <c r="E95" i="15"/>
  <c r="E90" i="15"/>
  <c r="E115" i="15"/>
  <c r="E120" i="15"/>
  <c r="C138" i="15"/>
  <c r="C133" i="15"/>
  <c r="C128" i="15"/>
  <c r="C123" i="15"/>
  <c r="C118" i="15"/>
  <c r="C103" i="15"/>
  <c r="C98" i="15"/>
  <c r="E98" i="15"/>
  <c r="C108" i="15"/>
  <c r="H115" i="15"/>
  <c r="G113" i="15"/>
  <c r="G108" i="15"/>
  <c r="G103" i="15"/>
  <c r="G98" i="15"/>
  <c r="G93" i="15"/>
  <c r="G88" i="15"/>
  <c r="G133" i="15"/>
  <c r="E108" i="15"/>
  <c r="H131" i="15"/>
  <c r="H111" i="15"/>
  <c r="H106" i="15"/>
  <c r="H101" i="15"/>
  <c r="H96" i="15"/>
  <c r="AC33" i="31" s="1"/>
  <c r="AF33" i="31" s="1"/>
  <c r="H91" i="15"/>
  <c r="AC32" i="31" s="1"/>
  <c r="AF32" i="31" s="1"/>
  <c r="H86" i="15"/>
  <c r="AC31" i="31" s="1"/>
  <c r="AF31" i="31" s="1"/>
  <c r="H126" i="15"/>
  <c r="H136" i="15"/>
  <c r="D118" i="15"/>
  <c r="D103" i="15"/>
  <c r="D133" i="15"/>
  <c r="D98" i="15"/>
  <c r="H130" i="15"/>
  <c r="H125" i="15"/>
  <c r="H120" i="15"/>
  <c r="H110" i="15"/>
  <c r="H90" i="15"/>
  <c r="H105" i="15"/>
  <c r="D123" i="15"/>
  <c r="N121" i="13"/>
  <c r="N120" i="13"/>
  <c r="N119" i="13"/>
  <c r="F76" i="13"/>
  <c r="F73" i="13"/>
  <c r="F117" i="13"/>
  <c r="F121" i="13"/>
  <c r="G105" i="15"/>
  <c r="C110" i="15"/>
  <c r="C120" i="15"/>
  <c r="F137" i="15"/>
  <c r="F132" i="15"/>
  <c r="F127" i="15"/>
  <c r="F122" i="15"/>
  <c r="F117" i="15"/>
  <c r="F135" i="15"/>
  <c r="F130" i="15"/>
  <c r="F125" i="15"/>
  <c r="F120" i="15"/>
  <c r="F115" i="15"/>
  <c r="F90" i="15"/>
  <c r="E44" i="15"/>
  <c r="J63" i="15" s="1"/>
  <c r="F92" i="15"/>
  <c r="F112" i="15"/>
  <c r="G135" i="15"/>
  <c r="G130" i="15"/>
  <c r="G125" i="15"/>
  <c r="G115" i="15"/>
  <c r="C81" i="13"/>
  <c r="C80" i="13"/>
  <c r="C79" i="13"/>
  <c r="C78" i="13"/>
  <c r="O81" i="13"/>
  <c r="O80" i="13"/>
  <c r="O79" i="13"/>
  <c r="O78" i="13"/>
  <c r="O121" i="13"/>
  <c r="O120" i="13"/>
  <c r="O119" i="13"/>
  <c r="O118" i="13"/>
  <c r="O117" i="13"/>
  <c r="O116" i="13"/>
  <c r="O115" i="13"/>
  <c r="O114" i="13"/>
  <c r="O113" i="13"/>
  <c r="O112" i="13"/>
  <c r="O111" i="13"/>
  <c r="J96" i="15" l="1"/>
  <c r="AU114" i="31"/>
  <c r="AU111" i="31"/>
  <c r="Q116" i="13"/>
  <c r="AU118" i="31"/>
  <c r="AU113" i="31"/>
  <c r="Q121" i="13"/>
  <c r="Q113" i="13"/>
  <c r="Q115" i="13"/>
  <c r="AU120" i="31"/>
  <c r="AU115" i="31"/>
  <c r="Q117" i="13"/>
  <c r="Q114" i="13"/>
  <c r="Q118" i="13"/>
  <c r="Q119" i="13"/>
  <c r="Q120" i="13"/>
  <c r="AU112" i="31"/>
  <c r="AU117" i="31"/>
  <c r="Q111" i="13"/>
  <c r="R74" i="13"/>
  <c r="H73" i="13"/>
  <c r="I136" i="15"/>
  <c r="D41" i="13" s="1"/>
  <c r="D12" i="3" s="1"/>
  <c r="R39" i="13"/>
  <c r="AV35" i="31"/>
  <c r="AV33" i="31"/>
  <c r="AV41" i="31"/>
  <c r="AV38" i="31"/>
  <c r="AV40" i="31"/>
  <c r="AV31" i="31"/>
  <c r="AV39" i="31"/>
  <c r="AV37" i="31"/>
  <c r="AV36" i="31"/>
  <c r="AV34" i="31"/>
  <c r="AV32" i="31"/>
  <c r="R31" i="13"/>
  <c r="R34" i="13"/>
  <c r="R37" i="13"/>
  <c r="Q39" i="13"/>
  <c r="AU36" i="31"/>
  <c r="AU31" i="31"/>
  <c r="AU33" i="31"/>
  <c r="AU40" i="31"/>
  <c r="AU38" i="31"/>
  <c r="AU35" i="31"/>
  <c r="AU39" i="31"/>
  <c r="AU41" i="31"/>
  <c r="AU37" i="31"/>
  <c r="AU34" i="31"/>
  <c r="AU32" i="31"/>
  <c r="AC36" i="31"/>
  <c r="AF36" i="31" s="1"/>
  <c r="I36" i="31"/>
  <c r="L36" i="31" s="1"/>
  <c r="I41" i="31"/>
  <c r="L41" i="31" s="1"/>
  <c r="AC41" i="31"/>
  <c r="AF41" i="31" s="1"/>
  <c r="I37" i="31"/>
  <c r="L37" i="31" s="1"/>
  <c r="AC38" i="31"/>
  <c r="AF38" i="31" s="1"/>
  <c r="I38" i="31"/>
  <c r="L38" i="31" s="1"/>
  <c r="AC37" i="31"/>
  <c r="AF37" i="31" s="1"/>
  <c r="M33" i="13"/>
  <c r="AQ33" i="31"/>
  <c r="I39" i="31"/>
  <c r="L39" i="31" s="1"/>
  <c r="AC39" i="31"/>
  <c r="AF39" i="31" s="1"/>
  <c r="I34" i="31"/>
  <c r="L34" i="31" s="1"/>
  <c r="AC34" i="31"/>
  <c r="AF34" i="31" s="1"/>
  <c r="D35" i="13"/>
  <c r="D6" i="3" s="1"/>
  <c r="AH35" i="31"/>
  <c r="AO35" i="31" s="1"/>
  <c r="M40" i="13"/>
  <c r="AQ40" i="31"/>
  <c r="I35" i="31"/>
  <c r="L35" i="31" s="1"/>
  <c r="AC35" i="31"/>
  <c r="AF35" i="31" s="1"/>
  <c r="AC40" i="31"/>
  <c r="AF40" i="31" s="1"/>
  <c r="I40" i="31"/>
  <c r="L40" i="31" s="1"/>
  <c r="R73" i="13"/>
  <c r="AV78" i="31"/>
  <c r="AV71" i="31"/>
  <c r="AV76" i="31"/>
  <c r="AV77" i="31"/>
  <c r="AV81" i="31"/>
  <c r="AV74" i="31"/>
  <c r="AV79" i="31"/>
  <c r="AV72" i="31"/>
  <c r="AV80" i="31"/>
  <c r="AV75" i="31"/>
  <c r="AV73" i="31"/>
  <c r="I81" i="13"/>
  <c r="AM75" i="31"/>
  <c r="AM80" i="31"/>
  <c r="AM73" i="31"/>
  <c r="AM71" i="31"/>
  <c r="AM76" i="31"/>
  <c r="AM78" i="31"/>
  <c r="AM74" i="31"/>
  <c r="AM81" i="31"/>
  <c r="AM79" i="31"/>
  <c r="AM72" i="31"/>
  <c r="AM77" i="31"/>
  <c r="R72" i="13"/>
  <c r="I78" i="13"/>
  <c r="H71" i="13"/>
  <c r="AL79" i="31"/>
  <c r="AL75" i="31"/>
  <c r="AL71" i="31"/>
  <c r="AL80" i="31"/>
  <c r="AL76" i="31"/>
  <c r="AL72" i="31"/>
  <c r="AL81" i="31"/>
  <c r="AL77" i="31"/>
  <c r="AL73" i="31"/>
  <c r="AL78" i="31"/>
  <c r="AL74" i="31"/>
  <c r="Q77" i="13"/>
  <c r="AU81" i="31"/>
  <c r="AU77" i="31"/>
  <c r="AU73" i="31"/>
  <c r="AU78" i="31"/>
  <c r="AU74" i="31"/>
  <c r="AU79" i="31"/>
  <c r="AU75" i="31"/>
  <c r="AU71" i="31"/>
  <c r="AU80" i="31"/>
  <c r="AU76" i="31"/>
  <c r="AU72" i="31"/>
  <c r="Q73" i="13"/>
  <c r="H77" i="13"/>
  <c r="H81" i="13"/>
  <c r="H75" i="13"/>
  <c r="R111" i="13"/>
  <c r="AV121" i="31"/>
  <c r="AV118" i="31"/>
  <c r="AV114" i="31"/>
  <c r="AV115" i="31"/>
  <c r="AV111" i="31"/>
  <c r="AV112" i="31"/>
  <c r="AV119" i="31"/>
  <c r="AV120" i="31"/>
  <c r="AV116" i="31"/>
  <c r="AV113" i="31"/>
  <c r="AV117" i="31"/>
  <c r="J121" i="15"/>
  <c r="Q76" i="13"/>
  <c r="R75" i="13"/>
  <c r="J116" i="15"/>
  <c r="J91" i="15"/>
  <c r="I121" i="15"/>
  <c r="Q79" i="13"/>
  <c r="J106" i="15"/>
  <c r="Q31" i="13"/>
  <c r="R77" i="13"/>
  <c r="J86" i="15"/>
  <c r="Q74" i="13"/>
  <c r="J111" i="15"/>
  <c r="I126" i="15"/>
  <c r="Q78" i="13"/>
  <c r="Q80" i="13"/>
  <c r="J101" i="15"/>
  <c r="J136" i="15"/>
  <c r="I131" i="15"/>
  <c r="Q81" i="13"/>
  <c r="Q75" i="13"/>
  <c r="J126" i="15"/>
  <c r="Q71" i="13"/>
  <c r="R121" i="13"/>
  <c r="R116" i="13"/>
  <c r="R117" i="13"/>
  <c r="R115" i="13"/>
  <c r="R113" i="13"/>
  <c r="R119" i="13"/>
  <c r="R112" i="13"/>
  <c r="R120" i="13"/>
  <c r="R114" i="13"/>
  <c r="R79" i="13"/>
  <c r="R71" i="13"/>
  <c r="R76" i="13"/>
  <c r="R80" i="13"/>
  <c r="H76" i="13"/>
  <c r="H79" i="13"/>
  <c r="H74" i="13"/>
  <c r="I74" i="13"/>
  <c r="I76" i="13"/>
  <c r="I79" i="13"/>
  <c r="I77" i="13"/>
  <c r="I75" i="13"/>
  <c r="I71" i="13"/>
  <c r="I73" i="13"/>
  <c r="I72" i="13"/>
  <c r="Q38" i="13"/>
  <c r="Q32" i="13"/>
  <c r="Q40" i="13"/>
  <c r="Q36" i="13"/>
  <c r="Q34" i="13"/>
  <c r="Q41" i="13"/>
  <c r="Q33" i="13"/>
  <c r="R35" i="13"/>
  <c r="R40" i="13"/>
  <c r="R33" i="13"/>
  <c r="Q37" i="13"/>
  <c r="R36" i="13"/>
  <c r="Q35" i="13"/>
  <c r="R32" i="13"/>
  <c r="R41" i="13"/>
  <c r="I116" i="15"/>
  <c r="R38" i="13"/>
  <c r="I101" i="15"/>
  <c r="I86" i="15"/>
  <c r="I91" i="15"/>
  <c r="I111" i="15"/>
  <c r="I96" i="15"/>
  <c r="J137" i="15"/>
  <c r="J132" i="15"/>
  <c r="J127" i="15"/>
  <c r="J122" i="15"/>
  <c r="J117" i="15"/>
  <c r="J107" i="15"/>
  <c r="J87" i="15"/>
  <c r="J102" i="15"/>
  <c r="J92" i="15"/>
  <c r="J112" i="15"/>
  <c r="J97" i="15"/>
  <c r="H137" i="15"/>
  <c r="AC81" i="31" s="1"/>
  <c r="AF81" i="31" s="1"/>
  <c r="H132" i="15"/>
  <c r="AC80" i="31" s="1"/>
  <c r="AF80" i="31" s="1"/>
  <c r="H127" i="15"/>
  <c r="AC79" i="31" s="1"/>
  <c r="AF79" i="31" s="1"/>
  <c r="H122" i="15"/>
  <c r="AC78" i="31" s="1"/>
  <c r="AF78" i="31" s="1"/>
  <c r="H117" i="15"/>
  <c r="AC77" i="31" s="1"/>
  <c r="AF77" i="31" s="1"/>
  <c r="H87" i="15"/>
  <c r="AC71" i="31" s="1"/>
  <c r="AF71" i="31" s="1"/>
  <c r="H112" i="15"/>
  <c r="AC76" i="31" s="1"/>
  <c r="AF76" i="31" s="1"/>
  <c r="H92" i="15"/>
  <c r="AC72" i="31" s="1"/>
  <c r="AF72" i="31" s="1"/>
  <c r="H102" i="15"/>
  <c r="AC74" i="31" s="1"/>
  <c r="AF74" i="31" s="1"/>
  <c r="H107" i="15"/>
  <c r="AC75" i="31" s="1"/>
  <c r="AF75" i="31" s="1"/>
  <c r="H97" i="15"/>
  <c r="AC73" i="31" s="1"/>
  <c r="AF73" i="31" s="1"/>
  <c r="J123" i="15"/>
  <c r="J98" i="15"/>
  <c r="J93" i="15"/>
  <c r="J128" i="15"/>
  <c r="J113" i="15"/>
  <c r="J118" i="15"/>
  <c r="J138" i="15"/>
  <c r="J88" i="15"/>
  <c r="J108" i="15"/>
  <c r="J103" i="15"/>
  <c r="J133" i="15"/>
  <c r="I138" i="15"/>
  <c r="I133" i="15"/>
  <c r="I128" i="15"/>
  <c r="I123" i="15"/>
  <c r="I118" i="15"/>
  <c r="I113" i="15"/>
  <c r="I98" i="15"/>
  <c r="I93" i="15"/>
  <c r="I108" i="15"/>
  <c r="I103" i="15"/>
  <c r="I88" i="15"/>
  <c r="I127" i="15"/>
  <c r="I122" i="15"/>
  <c r="I117" i="15"/>
  <c r="I137" i="15"/>
  <c r="I107" i="15"/>
  <c r="I102" i="15"/>
  <c r="I92" i="15"/>
  <c r="I87" i="15"/>
  <c r="I112" i="15"/>
  <c r="I132" i="15"/>
  <c r="I97" i="15"/>
  <c r="AH41" i="31" l="1"/>
  <c r="AO41" i="31" s="1"/>
  <c r="AX40" i="31"/>
  <c r="AX33" i="31"/>
  <c r="D33" i="13"/>
  <c r="D4" i="3" s="1"/>
  <c r="AH33" i="31"/>
  <c r="AO33" i="31" s="1"/>
  <c r="AH37" i="31"/>
  <c r="AO37" i="31" s="1"/>
  <c r="AH38" i="31"/>
  <c r="AO38" i="31" s="1"/>
  <c r="M32" i="13"/>
  <c r="AQ32" i="31"/>
  <c r="AX32" i="31" s="1"/>
  <c r="M36" i="13"/>
  <c r="E7" i="3" s="1"/>
  <c r="AQ36" i="31"/>
  <c r="AX36" i="31" s="1"/>
  <c r="D36" i="13"/>
  <c r="D7" i="3" s="1"/>
  <c r="AH36" i="31"/>
  <c r="AO36" i="31" s="1"/>
  <c r="AQ38" i="31"/>
  <c r="AX38" i="31" s="1"/>
  <c r="AQ37" i="31"/>
  <c r="AX37" i="31" s="1"/>
  <c r="M38" i="13"/>
  <c r="E9" i="3" s="1"/>
  <c r="M31" i="13"/>
  <c r="E2" i="3" s="1"/>
  <c r="AQ31" i="31"/>
  <c r="AX31" i="31" s="1"/>
  <c r="M37" i="13"/>
  <c r="M39" i="13"/>
  <c r="E10" i="3" s="1"/>
  <c r="AQ39" i="31"/>
  <c r="AX39" i="31" s="1"/>
  <c r="D32" i="13"/>
  <c r="D3" i="3" s="1"/>
  <c r="AH32" i="31"/>
  <c r="AO32" i="31" s="1"/>
  <c r="D31" i="13"/>
  <c r="D2" i="3" s="1"/>
  <c r="AH31" i="31"/>
  <c r="AO31" i="31" s="1"/>
  <c r="M35" i="13"/>
  <c r="E6" i="3" s="1"/>
  <c r="AQ35" i="31"/>
  <c r="AX35" i="31" s="1"/>
  <c r="M41" i="13"/>
  <c r="E12" i="3" s="1"/>
  <c r="AQ41" i="31"/>
  <c r="AX41" i="31" s="1"/>
  <c r="M34" i="13"/>
  <c r="AQ34" i="31"/>
  <c r="AX34" i="31" s="1"/>
  <c r="D37" i="13"/>
  <c r="D8" i="3" s="1"/>
  <c r="D38" i="13"/>
  <c r="D9" i="3" s="1"/>
  <c r="D39" i="13"/>
  <c r="D10" i="3" s="1"/>
  <c r="AH39" i="31"/>
  <c r="AO39" i="31" s="1"/>
  <c r="D34" i="13"/>
  <c r="D5" i="3" s="1"/>
  <c r="AH34" i="31"/>
  <c r="AO34" i="31" s="1"/>
  <c r="D40" i="13"/>
  <c r="D11" i="3" s="1"/>
  <c r="AH40" i="31"/>
  <c r="AO40" i="31" s="1"/>
  <c r="M71" i="13"/>
  <c r="E2" i="5" s="1"/>
  <c r="AQ71" i="31"/>
  <c r="AX71" i="31" s="1"/>
  <c r="D71" i="13"/>
  <c r="AH71" i="31"/>
  <c r="AO71" i="31" s="1"/>
  <c r="D74" i="13"/>
  <c r="D5" i="5" s="1"/>
  <c r="AH74" i="31"/>
  <c r="AO74" i="31" s="1"/>
  <c r="D75" i="13"/>
  <c r="D6" i="5" s="1"/>
  <c r="AH75" i="31"/>
  <c r="AO75" i="31" s="1"/>
  <c r="M81" i="13"/>
  <c r="E12" i="5" s="1"/>
  <c r="AQ81" i="31"/>
  <c r="AX81" i="31" s="1"/>
  <c r="D81" i="13"/>
  <c r="D12" i="5" s="1"/>
  <c r="AH81" i="31"/>
  <c r="AO81" i="31" s="1"/>
  <c r="D77" i="13"/>
  <c r="D8" i="5" s="1"/>
  <c r="AH77" i="31"/>
  <c r="AO77" i="31" s="1"/>
  <c r="M73" i="13"/>
  <c r="E4" i="5" s="1"/>
  <c r="AQ73" i="31"/>
  <c r="AX73" i="31" s="1"/>
  <c r="D73" i="13"/>
  <c r="D4" i="5" s="1"/>
  <c r="AH73" i="31"/>
  <c r="AO73" i="31" s="1"/>
  <c r="D76" i="13"/>
  <c r="D7" i="5" s="1"/>
  <c r="AH76" i="31"/>
  <c r="AO76" i="31" s="1"/>
  <c r="D72" i="13"/>
  <c r="D3" i="5" s="1"/>
  <c r="AH72" i="31"/>
  <c r="AO72" i="31" s="1"/>
  <c r="M76" i="13"/>
  <c r="E7" i="5" s="1"/>
  <c r="AQ76" i="31"/>
  <c r="AX76" i="31" s="1"/>
  <c r="D80" i="13"/>
  <c r="D11" i="5" s="1"/>
  <c r="AH80" i="31"/>
  <c r="AO80" i="31" s="1"/>
  <c r="M75" i="13"/>
  <c r="E6" i="5" s="1"/>
  <c r="AQ75" i="31"/>
  <c r="AX75" i="31" s="1"/>
  <c r="M77" i="13"/>
  <c r="E8" i="5" s="1"/>
  <c r="AQ77" i="31"/>
  <c r="AX77" i="31" s="1"/>
  <c r="M78" i="13"/>
  <c r="E9" i="5" s="1"/>
  <c r="AQ78" i="31"/>
  <c r="AX78" i="31" s="1"/>
  <c r="M79" i="13"/>
  <c r="E10" i="5" s="1"/>
  <c r="AQ79" i="31"/>
  <c r="AX79" i="31" s="1"/>
  <c r="M80" i="13"/>
  <c r="E11" i="5" s="1"/>
  <c r="AQ80" i="31"/>
  <c r="AX80" i="31" s="1"/>
  <c r="D78" i="13"/>
  <c r="D9" i="5" s="1"/>
  <c r="AH78" i="31"/>
  <c r="AO78" i="31" s="1"/>
  <c r="D79" i="13"/>
  <c r="D10" i="5" s="1"/>
  <c r="AH79" i="31"/>
  <c r="AO79" i="31" s="1"/>
  <c r="M72" i="13"/>
  <c r="E3" i="5" s="1"/>
  <c r="AQ72" i="31"/>
  <c r="AX72" i="31" s="1"/>
  <c r="M74" i="13"/>
  <c r="E5" i="5" s="1"/>
  <c r="AQ74" i="31"/>
  <c r="AX74" i="31" s="1"/>
  <c r="M121" i="13"/>
  <c r="F12" i="7" s="1"/>
  <c r="AQ121" i="31"/>
  <c r="AX121" i="31" s="1"/>
  <c r="D116" i="13"/>
  <c r="E7" i="7" s="1"/>
  <c r="AH116" i="31"/>
  <c r="AO116" i="31" s="1"/>
  <c r="D115" i="13"/>
  <c r="E6" i="7" s="1"/>
  <c r="AH115" i="31"/>
  <c r="AO115" i="31" s="1"/>
  <c r="D113" i="13"/>
  <c r="E4" i="7" s="1"/>
  <c r="AH113" i="31"/>
  <c r="AO113" i="31" s="1"/>
  <c r="D117" i="13"/>
  <c r="E8" i="7" s="1"/>
  <c r="AH117" i="31"/>
  <c r="AO117" i="31" s="1"/>
  <c r="M112" i="13"/>
  <c r="F3" i="7" s="1"/>
  <c r="AQ112" i="31"/>
  <c r="AX112" i="31" s="1"/>
  <c r="M113" i="13"/>
  <c r="F4" i="7" s="1"/>
  <c r="AQ113" i="31"/>
  <c r="AX113" i="31" s="1"/>
  <c r="M118" i="13"/>
  <c r="F9" i="7" s="1"/>
  <c r="AQ118" i="31"/>
  <c r="AX118" i="31" s="1"/>
  <c r="M120" i="13"/>
  <c r="AQ120" i="31"/>
  <c r="AX120" i="31" s="1"/>
  <c r="D112" i="13"/>
  <c r="E3" i="7" s="1"/>
  <c r="AH112" i="31"/>
  <c r="AO112" i="31" s="1"/>
  <c r="M116" i="13"/>
  <c r="F7" i="7" s="1"/>
  <c r="AQ116" i="31"/>
  <c r="AX116" i="31" s="1"/>
  <c r="M114" i="13"/>
  <c r="F5" i="7" s="1"/>
  <c r="AQ114" i="31"/>
  <c r="AX114" i="31" s="1"/>
  <c r="M111" i="13"/>
  <c r="F2" i="7" s="1"/>
  <c r="AQ111" i="31"/>
  <c r="AX111" i="31" s="1"/>
  <c r="M117" i="13"/>
  <c r="F8" i="7" s="1"/>
  <c r="AQ117" i="31"/>
  <c r="AX117" i="31" s="1"/>
  <c r="M119" i="13"/>
  <c r="F10" i="7" s="1"/>
  <c r="AQ119" i="31"/>
  <c r="AX119" i="31" s="1"/>
  <c r="D118" i="13"/>
  <c r="E9" i="7" s="1"/>
  <c r="AH118" i="31"/>
  <c r="AO118" i="31" s="1"/>
  <c r="D119" i="13"/>
  <c r="E10" i="7" s="1"/>
  <c r="AH119" i="31"/>
  <c r="AO119" i="31" s="1"/>
  <c r="D120" i="13"/>
  <c r="E11" i="7" s="1"/>
  <c r="AH120" i="31"/>
  <c r="AO120" i="31" s="1"/>
  <c r="D121" i="13"/>
  <c r="E12" i="7" s="1"/>
  <c r="AH121" i="31"/>
  <c r="AO121" i="31" s="1"/>
  <c r="D111" i="13"/>
  <c r="E2" i="7" s="1"/>
  <c r="AH111" i="31"/>
  <c r="AO111" i="31" s="1"/>
  <c r="D114" i="13"/>
  <c r="E5" i="7" s="1"/>
  <c r="AH114" i="31"/>
  <c r="AO114" i="31" s="1"/>
  <c r="M115" i="13"/>
  <c r="F6" i="7" s="1"/>
  <c r="AQ115" i="31"/>
  <c r="AX115" i="31" s="1"/>
  <c r="D2" i="5"/>
  <c r="E5" i="3"/>
  <c r="E3" i="3"/>
  <c r="E4" i="3"/>
  <c r="E11" i="3"/>
  <c r="F11" i="7"/>
  <c r="E8" i="3"/>
  <c r="D22" i="3" l="1"/>
  <c r="C22" i="3" s="1"/>
  <c r="F22" i="3" s="1" a="1"/>
  <c r="F22" i="3" s="1"/>
  <c r="D19" i="3"/>
  <c r="C19" i="3" s="1"/>
  <c r="E19" i="3" s="1"/>
  <c r="D27" i="3"/>
  <c r="C27" i="3" s="1"/>
  <c r="D23" i="3"/>
  <c r="C23" i="3" s="1"/>
  <c r="E23" i="3" s="1"/>
  <c r="D18" i="3"/>
  <c r="C18" i="3" s="1"/>
  <c r="F18" i="3" s="1" a="1"/>
  <c r="F18" i="3" s="1"/>
  <c r="D26" i="3"/>
  <c r="C26" i="3" s="1"/>
  <c r="F26" i="3" s="1" a="1"/>
  <c r="F26" i="3" s="1"/>
  <c r="D17" i="3"/>
  <c r="D36" i="3"/>
  <c r="C36" i="3" s="1"/>
  <c r="D35" i="3"/>
  <c r="C35" i="3" s="1"/>
  <c r="D34" i="3"/>
  <c r="C34" i="3" s="1"/>
  <c r="D41" i="3"/>
  <c r="C41" i="3" s="1"/>
  <c r="D33" i="3"/>
  <c r="C33" i="3" s="1"/>
  <c r="D31" i="3"/>
  <c r="D32" i="3"/>
  <c r="C32" i="3" s="1"/>
  <c r="D40" i="3"/>
  <c r="C40" i="3" s="1"/>
  <c r="D39" i="3"/>
  <c r="C39" i="3" s="1"/>
  <c r="D38" i="3"/>
  <c r="C38" i="3" s="1"/>
  <c r="D37" i="3"/>
  <c r="C37" i="3" s="1"/>
  <c r="D24" i="3"/>
  <c r="C24" i="3" s="1"/>
  <c r="F24" i="3" s="1" a="1"/>
  <c r="F24" i="3" s="1"/>
  <c r="D21" i="3"/>
  <c r="C21" i="3" s="1"/>
  <c r="F21" i="3" s="1" a="1"/>
  <c r="F21" i="3" s="1"/>
  <c r="D25" i="3"/>
  <c r="C25" i="3" s="1"/>
  <c r="F25" i="3" s="1" a="1"/>
  <c r="F25" i="3" s="1"/>
  <c r="D20" i="3"/>
  <c r="C20" i="3" s="1"/>
  <c r="E20" i="3" s="1"/>
  <c r="D17" i="5"/>
  <c r="D32" i="5"/>
  <c r="C32" i="5" s="1"/>
  <c r="D41" i="5"/>
  <c r="C41" i="5" s="1"/>
  <c r="D40" i="5"/>
  <c r="C40" i="5" s="1"/>
  <c r="D38" i="5"/>
  <c r="C38" i="5" s="1"/>
  <c r="D37" i="5"/>
  <c r="C37" i="5" s="1"/>
  <c r="D35" i="5"/>
  <c r="C35" i="5" s="1"/>
  <c r="D33" i="5"/>
  <c r="C33" i="5" s="1"/>
  <c r="D31" i="5"/>
  <c r="D39" i="5"/>
  <c r="C39" i="5" s="1"/>
  <c r="D36" i="5"/>
  <c r="C36" i="5" s="1"/>
  <c r="D34" i="5"/>
  <c r="C34" i="5" s="1"/>
  <c r="D19" i="7"/>
  <c r="C19" i="7" s="1"/>
  <c r="F19" i="7" s="1" a="1"/>
  <c r="F19" i="7" s="1"/>
  <c r="D27" i="7"/>
  <c r="C27" i="7" s="1"/>
  <c r="F27" i="7" s="1" a="1"/>
  <c r="F27" i="7" s="1"/>
  <c r="D24" i="7"/>
  <c r="C24" i="7" s="1"/>
  <c r="E24" i="7" s="1"/>
  <c r="D20" i="7"/>
  <c r="C20" i="7" s="1"/>
  <c r="F20" i="7" s="1" a="1"/>
  <c r="F20" i="7" s="1"/>
  <c r="D25" i="7"/>
  <c r="C25" i="7" s="1"/>
  <c r="E25" i="7" s="1"/>
  <c r="D21" i="7"/>
  <c r="C21" i="7" s="1"/>
  <c r="E21" i="7" s="1"/>
  <c r="D17" i="7"/>
  <c r="D18" i="7"/>
  <c r="C18" i="7" s="1"/>
  <c r="F18" i="7" s="1" a="1"/>
  <c r="F18" i="7" s="1"/>
  <c r="D23" i="7"/>
  <c r="C23" i="7" s="1"/>
  <c r="F23" i="7" s="1" a="1"/>
  <c r="F23" i="7" s="1"/>
  <c r="D26" i="7"/>
  <c r="C26" i="7" s="1"/>
  <c r="F26" i="7" s="1" a="1"/>
  <c r="F26" i="7" s="1"/>
  <c r="D22" i="7"/>
  <c r="C22" i="7" s="1"/>
  <c r="E22" i="7" s="1"/>
  <c r="D40" i="7"/>
  <c r="C40" i="7" s="1"/>
  <c r="D39" i="7"/>
  <c r="C39" i="7" s="1"/>
  <c r="D34" i="7"/>
  <c r="C34" i="7" s="1"/>
  <c r="D33" i="7"/>
  <c r="D38" i="7"/>
  <c r="C38" i="7" s="1"/>
  <c r="D37" i="7"/>
  <c r="C37" i="7" s="1"/>
  <c r="D36" i="7"/>
  <c r="C36" i="7" s="1"/>
  <c r="D35" i="7"/>
  <c r="C35" i="7" s="1"/>
  <c r="D43" i="7"/>
  <c r="C43" i="7" s="1"/>
  <c r="D42" i="7"/>
  <c r="C42" i="7" s="1"/>
  <c r="D41" i="7"/>
  <c r="C41" i="7" s="1"/>
  <c r="D21" i="5"/>
  <c r="C21" i="5" s="1"/>
  <c r="E21" i="5" s="1"/>
  <c r="D27" i="5"/>
  <c r="C27" i="5" s="1"/>
  <c r="F27" i="5" s="1" a="1"/>
  <c r="F27" i="5" s="1"/>
  <c r="D24" i="5"/>
  <c r="C24" i="5" s="1"/>
  <c r="E24" i="5" s="1"/>
  <c r="D22" i="5"/>
  <c r="C22" i="5" s="1"/>
  <c r="F22" i="5" s="1" a="1"/>
  <c r="F22" i="5" s="1"/>
  <c r="D18" i="5"/>
  <c r="C18" i="5" s="1"/>
  <c r="F18" i="5" s="1" a="1"/>
  <c r="F18" i="5" s="1"/>
  <c r="D20" i="5"/>
  <c r="C20" i="5" s="1"/>
  <c r="E20" i="5" s="1"/>
  <c r="D23" i="5"/>
  <c r="C23" i="5" s="1"/>
  <c r="E23" i="5" s="1"/>
  <c r="D19" i="5"/>
  <c r="C19" i="5" s="1"/>
  <c r="F19" i="5" s="1" a="1"/>
  <c r="F19" i="5" s="1"/>
  <c r="D25" i="5"/>
  <c r="C25" i="5" s="1"/>
  <c r="E25" i="5" s="1"/>
  <c r="D26" i="5"/>
  <c r="C26" i="5" s="1"/>
  <c r="E26" i="5" s="1"/>
  <c r="E27" i="3"/>
  <c r="F27" i="3" a="1"/>
  <c r="F27" i="3" s="1"/>
  <c r="E22" i="3"/>
  <c r="E18" i="5"/>
  <c r="C31" i="3" l="1"/>
  <c r="G15" i="32" s="1"/>
  <c r="G10" i="32"/>
  <c r="C17" i="3"/>
  <c r="G9" i="32"/>
  <c r="G11" i="32" s="1"/>
  <c r="C31" i="5"/>
  <c r="H15" i="32" s="1"/>
  <c r="H10" i="32"/>
  <c r="C17" i="5"/>
  <c r="E17" i="5" s="1"/>
  <c r="H9" i="32"/>
  <c r="H11" i="32" s="1"/>
  <c r="C17" i="7"/>
  <c r="I9" i="32"/>
  <c r="C33" i="7"/>
  <c r="I15" i="32" s="1"/>
  <c r="I10" i="32"/>
  <c r="E27" i="7"/>
  <c r="F19" i="3" a="1"/>
  <c r="F19" i="3" s="1"/>
  <c r="E25" i="3"/>
  <c r="F23" i="3" a="1"/>
  <c r="F23" i="3" s="1"/>
  <c r="E18" i="3"/>
  <c r="E26" i="3"/>
  <c r="E21" i="3"/>
  <c r="E32" i="3"/>
  <c r="F32" i="3" a="1"/>
  <c r="F32" i="3" s="1"/>
  <c r="F31" i="3" a="1"/>
  <c r="F31" i="3" s="1"/>
  <c r="E31" i="3"/>
  <c r="E33" i="3"/>
  <c r="F33" i="3" a="1"/>
  <c r="F33" i="3" s="1"/>
  <c r="E41" i="3"/>
  <c r="F41" i="3" a="1"/>
  <c r="F41" i="3" s="1"/>
  <c r="E34" i="3"/>
  <c r="F34" i="3" a="1"/>
  <c r="F34" i="3" s="1"/>
  <c r="E17" i="3"/>
  <c r="E36" i="3"/>
  <c r="F36" i="3" a="1"/>
  <c r="F36" i="3" s="1"/>
  <c r="E35" i="3"/>
  <c r="F35" i="3" a="1"/>
  <c r="F35" i="3" s="1"/>
  <c r="F38" i="3" a="1"/>
  <c r="F38" i="3" s="1"/>
  <c r="E38" i="3"/>
  <c r="E24" i="3"/>
  <c r="E39" i="3"/>
  <c r="F39" i="3" a="1"/>
  <c r="F39" i="3" s="1"/>
  <c r="F20" i="3" a="1"/>
  <c r="F20" i="3" s="1"/>
  <c r="E37" i="3"/>
  <c r="F37" i="3" a="1"/>
  <c r="F37" i="3" s="1"/>
  <c r="E40" i="3"/>
  <c r="F40" i="3" a="1"/>
  <c r="F40" i="3" s="1"/>
  <c r="F20" i="5" a="1"/>
  <c r="F20" i="5" s="1"/>
  <c r="E22" i="5"/>
  <c r="E33" i="5"/>
  <c r="F33" i="5" a="1"/>
  <c r="F33" i="5" s="1"/>
  <c r="F35" i="5" a="1"/>
  <c r="F35" i="5" s="1"/>
  <c r="E35" i="5"/>
  <c r="E38" i="5"/>
  <c r="F38" i="5" a="1"/>
  <c r="F38" i="5" s="1"/>
  <c r="F40" i="5" a="1"/>
  <c r="F40" i="5" s="1"/>
  <c r="E40" i="5"/>
  <c r="F21" i="5" a="1"/>
  <c r="F21" i="5" s="1"/>
  <c r="F41" i="5" a="1"/>
  <c r="F41" i="5" s="1"/>
  <c r="E41" i="5"/>
  <c r="F34" i="5" a="1"/>
  <c r="F34" i="5" s="1"/>
  <c r="E34" i="5"/>
  <c r="F36" i="5" a="1"/>
  <c r="F36" i="5" s="1"/>
  <c r="E36" i="5"/>
  <c r="E39" i="5"/>
  <c r="F39" i="5" a="1"/>
  <c r="F39" i="5" s="1"/>
  <c r="F31" i="5" a="1"/>
  <c r="F31" i="5" s="1"/>
  <c r="E31" i="5"/>
  <c r="F32" i="5" a="1"/>
  <c r="F32" i="5" s="1"/>
  <c r="E32" i="5"/>
  <c r="F37" i="5" a="1"/>
  <c r="F37" i="5" s="1"/>
  <c r="E37" i="5"/>
  <c r="F25" i="5" a="1"/>
  <c r="F25" i="5" s="1"/>
  <c r="F24" i="7" a="1"/>
  <c r="F24" i="7" s="1"/>
  <c r="F21" i="7" a="1"/>
  <c r="F21" i="7" s="1"/>
  <c r="F25" i="7" a="1"/>
  <c r="F25" i="7" s="1"/>
  <c r="E23" i="7"/>
  <c r="E20" i="7"/>
  <c r="E19" i="7"/>
  <c r="F22" i="7" a="1"/>
  <c r="F22" i="7" s="1"/>
  <c r="F17" i="7" a="1"/>
  <c r="F17" i="7" s="1"/>
  <c r="E33" i="7"/>
  <c r="E34" i="7"/>
  <c r="F34" i="7" a="1"/>
  <c r="F34" i="7" s="1"/>
  <c r="E39" i="7"/>
  <c r="F39" i="7" a="1"/>
  <c r="F39" i="7" s="1"/>
  <c r="F40" i="7" a="1"/>
  <c r="F40" i="7" s="1"/>
  <c r="E40" i="7"/>
  <c r="F41" i="7" a="1"/>
  <c r="F41" i="7" s="1"/>
  <c r="E41" i="7"/>
  <c r="E42" i="7"/>
  <c r="F42" i="7" a="1"/>
  <c r="F42" i="7" s="1"/>
  <c r="E43" i="7"/>
  <c r="F43" i="7" a="1"/>
  <c r="F43" i="7" s="1"/>
  <c r="E35" i="7"/>
  <c r="F35" i="7" a="1"/>
  <c r="F35" i="7" s="1"/>
  <c r="E18" i="7"/>
  <c r="E26" i="7"/>
  <c r="E36" i="7"/>
  <c r="F36" i="7" a="1"/>
  <c r="F36" i="7" s="1"/>
  <c r="E37" i="7"/>
  <c r="F37" i="7" a="1"/>
  <c r="F37" i="7" s="1"/>
  <c r="E38" i="7"/>
  <c r="F38" i="7" a="1"/>
  <c r="F38" i="7" s="1"/>
  <c r="F23" i="5" a="1"/>
  <c r="F23" i="5" s="1"/>
  <c r="E27" i="5"/>
  <c r="F26" i="5" a="1"/>
  <c r="F26" i="5" s="1"/>
  <c r="F24" i="5" a="1"/>
  <c r="F24" i="5" s="1"/>
  <c r="E19" i="5"/>
  <c r="J9" i="32" l="1"/>
  <c r="F17" i="3" a="1"/>
  <c r="F17" i="3" s="1"/>
  <c r="G14" i="32"/>
  <c r="F17" i="5" a="1"/>
  <c r="F17" i="5" s="1"/>
  <c r="H14" i="32"/>
  <c r="F33" i="7" a="1"/>
  <c r="F33" i="7" s="1"/>
  <c r="E17" i="7"/>
  <c r="I14" i="32"/>
  <c r="I11" i="32"/>
  <c r="J11" i="32" s="1"/>
  <c r="J10" i="3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4"/>
        </ext>
      </extLst>
    </bk>
    <bk>
      <extLst>
        <ext uri="{3e2802c4-a4d2-4d8b-9148-e3be6c30e623}">
          <xlrd:rvb i="137"/>
        </ext>
      </extLst>
    </bk>
    <bk>
      <extLst>
        <ext uri="{3e2802c4-a4d2-4d8b-9148-e3be6c30e623}">
          <xlrd:rvb i="140"/>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22"/>
        </ext>
      </extLst>
    </bk>
    <bk>
      <extLst>
        <ext uri="{3e2802c4-a4d2-4d8b-9148-e3be6c30e623}">
          <xlrd:rvb i="225"/>
        </ext>
      </extLst>
    </bk>
    <bk>
      <extLst>
        <ext uri="{3e2802c4-a4d2-4d8b-9148-e3be6c30e623}">
          <xlrd:rvb i="231"/>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1"/>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3"/>
        </ext>
      </extLst>
    </bk>
    <bk>
      <extLst>
        <ext uri="{3e2802c4-a4d2-4d8b-9148-e3be6c30e623}">
          <xlrd:rvb i="266"/>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3"/>
        </ext>
      </extLst>
    </bk>
    <bk>
      <extLst>
        <ext uri="{3e2802c4-a4d2-4d8b-9148-e3be6c30e623}">
          <xlrd:rvb i="296"/>
        </ext>
      </extLst>
    </bk>
    <bk>
      <extLst>
        <ext uri="{3e2802c4-a4d2-4d8b-9148-e3be6c30e623}">
          <xlrd:rvb i="299"/>
        </ext>
      </extLst>
    </bk>
    <bk>
      <extLst>
        <ext uri="{3e2802c4-a4d2-4d8b-9148-e3be6c30e623}">
          <xlrd:rvb i="302"/>
        </ext>
      </extLst>
    </bk>
    <bk>
      <extLst>
        <ext uri="{3e2802c4-a4d2-4d8b-9148-e3be6c30e623}">
          <xlrd:rvb i="305"/>
        </ext>
      </extLst>
    </bk>
    <bk>
      <extLst>
        <ext uri="{3e2802c4-a4d2-4d8b-9148-e3be6c30e623}">
          <xlrd:rvb i="308"/>
        </ext>
      </extLst>
    </bk>
    <bk>
      <extLst>
        <ext uri="{3e2802c4-a4d2-4d8b-9148-e3be6c30e623}">
          <xlrd:rvb i="311"/>
        </ext>
      </extLst>
    </bk>
    <bk>
      <extLst>
        <ext uri="{3e2802c4-a4d2-4d8b-9148-e3be6c30e623}">
          <xlrd:rvb i="314"/>
        </ext>
      </extLst>
    </bk>
    <bk>
      <extLst>
        <ext uri="{3e2802c4-a4d2-4d8b-9148-e3be6c30e623}">
          <xlrd:rvb i="317"/>
        </ext>
      </extLst>
    </bk>
    <bk>
      <extLst>
        <ext uri="{3e2802c4-a4d2-4d8b-9148-e3be6c30e623}">
          <xlrd:rvb i="320"/>
        </ext>
      </extLst>
    </bk>
    <bk>
      <extLst>
        <ext uri="{3e2802c4-a4d2-4d8b-9148-e3be6c30e623}">
          <xlrd:rvb i="323"/>
        </ext>
      </extLst>
    </bk>
    <bk>
      <extLst>
        <ext uri="{3e2802c4-a4d2-4d8b-9148-e3be6c30e623}">
          <xlrd:rvb i="326"/>
        </ext>
      </extLst>
    </bk>
    <bk>
      <extLst>
        <ext uri="{3e2802c4-a4d2-4d8b-9148-e3be6c30e623}">
          <xlrd:rvb i="329"/>
        </ext>
      </extLst>
    </bk>
    <bk>
      <extLst>
        <ext uri="{3e2802c4-a4d2-4d8b-9148-e3be6c30e623}">
          <xlrd:rvb i="332"/>
        </ext>
      </extLst>
    </bk>
    <bk>
      <extLst>
        <ext uri="{3e2802c4-a4d2-4d8b-9148-e3be6c30e623}">
          <xlrd:rvb i="338"/>
        </ext>
      </extLst>
    </bk>
    <bk>
      <extLst>
        <ext uri="{3e2802c4-a4d2-4d8b-9148-e3be6c30e623}">
          <xlrd:rvb i="344"/>
        </ext>
      </extLst>
    </bk>
    <bk>
      <extLst>
        <ext uri="{3e2802c4-a4d2-4d8b-9148-e3be6c30e623}">
          <xlrd:rvb i="347"/>
        </ext>
      </extLst>
    </bk>
    <bk>
      <extLst>
        <ext uri="{3e2802c4-a4d2-4d8b-9148-e3be6c30e623}">
          <xlrd:rvb i="350"/>
        </ext>
      </extLst>
    </bk>
    <bk>
      <extLst>
        <ext uri="{3e2802c4-a4d2-4d8b-9148-e3be6c30e623}">
          <xlrd:rvb i="353"/>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futureMetadata>
  <cellMetadata count="1">
    <bk>
      <rc t="1" v="0"/>
    </bk>
  </cellMetadata>
  <valueMetadata count="12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valueMetadata>
</metadata>
</file>

<file path=xl/sharedStrings.xml><?xml version="1.0" encoding="utf-8"?>
<sst xmlns="http://schemas.openxmlformats.org/spreadsheetml/2006/main" count="1193" uniqueCount="282">
  <si>
    <t>Hvis jeg invester:</t>
  </si>
  <si>
    <t>DKK</t>
  </si>
  <si>
    <t>Obligationer 60%, ETF 20%, Aktier 10%, Alternative 10%</t>
  </si>
  <si>
    <t>Kategori</t>
  </si>
  <si>
    <t>Markedscore</t>
  </si>
  <si>
    <t>ETF</t>
  </si>
  <si>
    <t>Aktier</t>
  </si>
  <si>
    <t>Sektor</t>
  </si>
  <si>
    <t>Makroscore DK (Q2 2025)</t>
  </si>
  <si>
    <t>Financials</t>
  </si>
  <si>
    <t>Real Estate</t>
  </si>
  <si>
    <t>Consumer Discretionary</t>
  </si>
  <si>
    <t>Information Technology</t>
  </si>
  <si>
    <t>Industrials</t>
  </si>
  <si>
    <t>Materials</t>
  </si>
  <si>
    <t>Consumer Staples</t>
  </si>
  <si>
    <t>Health Care</t>
  </si>
  <si>
    <t>Energy</t>
  </si>
  <si>
    <t>Communications Services</t>
  </si>
  <si>
    <t>Utilities</t>
  </si>
  <si>
    <t>Nr.</t>
  </si>
  <si>
    <t>Spørgsmål</t>
  </si>
  <si>
    <t>Svar 1</t>
  </si>
  <si>
    <t>Svar 2</t>
  </si>
  <si>
    <t>Svar 3</t>
  </si>
  <si>
    <t>Svar 4</t>
  </si>
  <si>
    <t>Score 1</t>
  </si>
  <si>
    <t>Score 2</t>
  </si>
  <si>
    <t>Score 3</t>
  </si>
  <si>
    <t>Score 4</t>
  </si>
  <si>
    <t>Brugerens Valg (indtast 1-4)</t>
  </si>
  <si>
    <t>1. Hvor lang tid ønsker du at investere?</t>
  </si>
  <si>
    <t>0–3 år</t>
  </si>
  <si>
    <t>3–5 år</t>
  </si>
  <si>
    <t>5–10 år</t>
  </si>
  <si>
    <t>10+ år</t>
  </si>
  <si>
    <t>2. Hvor stor andel af dine opsparing investerer du?</t>
  </si>
  <si>
    <t>0–10%</t>
  </si>
  <si>
    <t>10–30%</t>
  </si>
  <si>
    <t>30–50%</t>
  </si>
  <si>
    <t>50%+</t>
  </si>
  <si>
    <t>3. Hvordan reagerer du, hvis din portefølje falder 20% på 1 måned?</t>
  </si>
  <si>
    <t>Sælger alt</t>
  </si>
  <si>
    <t>Reducerer</t>
  </si>
  <si>
    <t>Holder</t>
  </si>
  <si>
    <t>Køber mere</t>
  </si>
  <si>
    <t>4. Hvor vigtigt er stabilt afkast vs. højt afkast?</t>
  </si>
  <si>
    <t>Stabilt</t>
  </si>
  <si>
    <t>Balanceret</t>
  </si>
  <si>
    <t>Højt afkast</t>
  </si>
  <si>
    <t>5. Hvad er din erfaring med investering?</t>
  </si>
  <si>
    <t>Ingen</t>
  </si>
  <si>
    <t>Lidt</t>
  </si>
  <si>
    <t>En del</t>
  </si>
  <si>
    <t>Meget</t>
  </si>
  <si>
    <t>6. Hvilket mål har du?</t>
  </si>
  <si>
    <t>Kapitalbevarelse</t>
  </si>
  <si>
    <t>Indkomst</t>
  </si>
  <si>
    <t>Vækst</t>
  </si>
  <si>
    <t>7. Hvor ofte følger du dine investeringer?</t>
  </si>
  <si>
    <t>Aldrig</t>
  </si>
  <si>
    <t>Årligt</t>
  </si>
  <si>
    <t>Kvartalsvis</t>
  </si>
  <si>
    <t>Ugentligt</t>
  </si>
  <si>
    <t>8. Hvor stor buffer har du uden for investering?</t>
  </si>
  <si>
    <t>&lt;1 måned</t>
  </si>
  <si>
    <t>1–3 mdr.</t>
  </si>
  <si>
    <t>3–6 mdr.</t>
  </si>
  <si>
    <t>6+ mdr.</t>
  </si>
  <si>
    <t>Profilnavn</t>
  </si>
  <si>
    <t>Score interval (fra)</t>
  </si>
  <si>
    <t>Score interval (til)</t>
  </si>
  <si>
    <t>Beskrivelse</t>
  </si>
  <si>
    <t>Aktivfordeling</t>
  </si>
  <si>
    <t>Alternativer (eksempler)</t>
  </si>
  <si>
    <t>Konservativ</t>
  </si>
  <si>
    <t>Lav risiko. Overvej guld og stabile alternativer udover ETF'er.</t>
  </si>
  <si>
    <t>Obligationer 50%, ETF 25%, Aktier 15%, Alternative 10%</t>
  </si>
  <si>
    <t>Guld, råvarer</t>
  </si>
  <si>
    <t>Balanceret risiko. ETF’er kombineres med lidt guld og råvarer.</t>
  </si>
  <si>
    <t>Obligationer 0%, ETF 55%, Aktier 35%, Alternative 10%</t>
  </si>
  <si>
    <t>Vækstorienteret</t>
  </si>
  <si>
    <t>Vækstfokus. Mulighed for mindre eksponering mod bitcoin og råvarer.</t>
  </si>
  <si>
    <t>Obligationer 0%, ETF 35%, Aktier 50%, Alternative 15%</t>
  </si>
  <si>
    <t>Bitcoin, guld, råvarer</t>
  </si>
  <si>
    <t>Dynamisk</t>
  </si>
  <si>
    <t>Større risiko. Brug af både aktier og alternative investeringer (inkl. krypto).</t>
  </si>
  <si>
    <t>Obligationer 0%, ETF 15%, Aktier 70%, Alternative 15%</t>
  </si>
  <si>
    <t>Bitcoin, guld, ejendom</t>
  </si>
  <si>
    <t>Markovækst</t>
  </si>
  <si>
    <t>Danmark</t>
  </si>
  <si>
    <t>Q3 2025</t>
  </si>
  <si>
    <t>Q4 2025</t>
  </si>
  <si>
    <t>BNP</t>
  </si>
  <si>
    <t>PMI</t>
  </si>
  <si>
    <t>10 YR rate</t>
  </si>
  <si>
    <t>CPI</t>
  </si>
  <si>
    <t>Baltic Dry Index</t>
  </si>
  <si>
    <t>VIX</t>
  </si>
  <si>
    <t>Currency (EUR/USD)</t>
  </si>
  <si>
    <t>Unemployment</t>
  </si>
  <si>
    <t>Europa</t>
  </si>
  <si>
    <t>USA</t>
  </si>
  <si>
    <t>Q1 2024</t>
  </si>
  <si>
    <t>Q2 2024</t>
  </si>
  <si>
    <t>Q3 2024</t>
  </si>
  <si>
    <t xml:space="preserve">Q4 2024 </t>
  </si>
  <si>
    <t>Q1 2025</t>
  </si>
  <si>
    <t>Q2 2025</t>
  </si>
  <si>
    <t>10 YR</t>
  </si>
  <si>
    <t>Makro score</t>
  </si>
  <si>
    <t>Currency</t>
  </si>
  <si>
    <t>Sektorer</t>
  </si>
  <si>
    <t>Early</t>
  </si>
  <si>
    <t>Mid</t>
  </si>
  <si>
    <t>Late</t>
  </si>
  <si>
    <t>Recession</t>
  </si>
  <si>
    <t>+</t>
  </si>
  <si>
    <t>-</t>
  </si>
  <si>
    <t>Real estate</t>
  </si>
  <si>
    <t>++</t>
  </si>
  <si>
    <t>--</t>
  </si>
  <si>
    <t>Consumer discretionary</t>
  </si>
  <si>
    <t>infomation technology</t>
  </si>
  <si>
    <t>industrials</t>
  </si>
  <si>
    <t>materials</t>
  </si>
  <si>
    <t>consumer staples</t>
  </si>
  <si>
    <t>health care</t>
  </si>
  <si>
    <t>energy</t>
  </si>
  <si>
    <t xml:space="preserve">communications sercives </t>
  </si>
  <si>
    <t>utilities</t>
  </si>
  <si>
    <t>Økonomisk vækst</t>
  </si>
  <si>
    <t>Kvatal</t>
  </si>
  <si>
    <t>%</t>
  </si>
  <si>
    <t>Fase</t>
  </si>
  <si>
    <t>Q4 2024</t>
  </si>
  <si>
    <t xml:space="preserve">Europa </t>
  </si>
  <si>
    <t>Point score sektor</t>
  </si>
  <si>
    <t>Kvartal</t>
  </si>
  <si>
    <t>USA PMI</t>
  </si>
  <si>
    <t>Point</t>
  </si>
  <si>
    <t>Euroområdet PMI</t>
  </si>
  <si>
    <t>Danmark PMI</t>
  </si>
  <si>
    <t>Communication Services</t>
  </si>
  <si>
    <t>USA 10 year</t>
  </si>
  <si>
    <t>Euroområdet 10 year</t>
  </si>
  <si>
    <t>Danmark 10 year</t>
  </si>
  <si>
    <t>Danmark 🇩🇰</t>
  </si>
  <si>
    <t>Euroområdet 🇪🇺</t>
  </si>
  <si>
    <t>USA 🇺🇸</t>
  </si>
  <si>
    <t>Danmark (%)</t>
  </si>
  <si>
    <t>EU‑27 / Euroområdet (%)</t>
  </si>
  <si>
    <t> 6,1</t>
  </si>
  <si>
    <t> 6,0</t>
  </si>
  <si>
    <t> 5,9</t>
  </si>
  <si>
    <t>USA (%)</t>
  </si>
  <si>
    <t>ETF Navn</t>
  </si>
  <si>
    <t>ISIN</t>
  </si>
  <si>
    <t>Region / Fokus</t>
  </si>
  <si>
    <t>Aktier - Financials</t>
  </si>
  <si>
    <t>iShares MSCI World Financials</t>
  </si>
  <si>
    <t>IE00B42TW061</t>
  </si>
  <si>
    <t>Global</t>
  </si>
  <si>
    <t>Aktier - Real Estate</t>
  </si>
  <si>
    <t>SPDR Dow Jones Global Real Estate</t>
  </si>
  <si>
    <t>US78464A6073</t>
  </si>
  <si>
    <t>Aktier - Consumer Discretionary</t>
  </si>
  <si>
    <t>iShares Global Consumer Discretionary</t>
  </si>
  <si>
    <t>IE00B3VWN393</t>
  </si>
  <si>
    <t>Aktier - Information Technology</t>
  </si>
  <si>
    <t>Invesco Nasdaq-100 UCITS</t>
  </si>
  <si>
    <t>IE00BYVTMS33</t>
  </si>
  <si>
    <t>Aktier - Industrials</t>
  </si>
  <si>
    <t>iShares MSCI World Industrials</t>
  </si>
  <si>
    <t>IE00B1VQ6H11</t>
  </si>
  <si>
    <t>Aktier - Materials</t>
  </si>
  <si>
    <t>Lyxor MSCI World Materials</t>
  </si>
  <si>
    <t>FR0010346205</t>
  </si>
  <si>
    <t>Aktier - Consumer Staples</t>
  </si>
  <si>
    <t>iShares MSCI Consumer Staples</t>
  </si>
  <si>
    <t>IE00B3VVGZ59</t>
  </si>
  <si>
    <t>Consumer staples</t>
  </si>
  <si>
    <t>Aktier - Health Care</t>
  </si>
  <si>
    <t>iShares Global Healthcare ETF</t>
  </si>
  <si>
    <t>IE00BM67HQ62</t>
  </si>
  <si>
    <t>Health care</t>
  </si>
  <si>
    <t>Aktier - Energy</t>
  </si>
  <si>
    <t>SPDR MSCI World Energy</t>
  </si>
  <si>
    <t>IE00B0M62X26</t>
  </si>
  <si>
    <t>Aktier - Communications Services</t>
  </si>
  <si>
    <t>Lyxor STOXX Europe Comm. Services</t>
  </si>
  <si>
    <t>LU1834988278</t>
  </si>
  <si>
    <t>Aktier - Utilities</t>
  </si>
  <si>
    <t>iShares Global Utilities</t>
  </si>
  <si>
    <t>IE00B1XNH568</t>
  </si>
  <si>
    <t>Obligationer - Korte Stats</t>
  </si>
  <si>
    <t>iShares Euro Gov Bond 1-3yr</t>
  </si>
  <si>
    <t>IE00B1FZS798</t>
  </si>
  <si>
    <t>Eurozone</t>
  </si>
  <si>
    <t>Obligation</t>
  </si>
  <si>
    <t>Obligationer - Lange Stats</t>
  </si>
  <si>
    <t>Xtrackers Eurozone Gov Bond 10+</t>
  </si>
  <si>
    <t>LU0290355717</t>
  </si>
  <si>
    <t>Obligationer - Investment Grade</t>
  </si>
  <si>
    <t>iShares Euro Corporate Bond</t>
  </si>
  <si>
    <t>IE00B3F81R35</t>
  </si>
  <si>
    <t>Obligationer - High Yield</t>
  </si>
  <si>
    <t>SPDR Bloomberg Euro High Yield</t>
  </si>
  <si>
    <t>IE00B66F4759</t>
  </si>
  <si>
    <t>Alternative - Guld</t>
  </si>
  <si>
    <t>WisdomTree Physical Gold</t>
  </si>
  <si>
    <t>JE00B1VS3770</t>
  </si>
  <si>
    <t>Guld</t>
  </si>
  <si>
    <t>Råvare</t>
  </si>
  <si>
    <t>Alternative - Råvarer</t>
  </si>
  <si>
    <t>Invesco Bloomberg Commodity ETF</t>
  </si>
  <si>
    <t>IE00BD6FTQ80</t>
  </si>
  <si>
    <t>Råvarer</t>
  </si>
  <si>
    <t>Alternative - ESG</t>
  </si>
  <si>
    <t>iShares MSCI World SRI</t>
  </si>
  <si>
    <t>IE00BYX2JD69</t>
  </si>
  <si>
    <t>ESG Global</t>
  </si>
  <si>
    <t>Danske Aktier</t>
  </si>
  <si>
    <t>Price</t>
  </si>
  <si>
    <t>Market Cap</t>
  </si>
  <si>
    <t>Beta</t>
  </si>
  <si>
    <t>Change %</t>
  </si>
  <si>
    <t>Industry</t>
  </si>
  <si>
    <t>P/E</t>
  </si>
  <si>
    <t>Ticker symbol</t>
  </si>
  <si>
    <t>Aktier EU</t>
  </si>
  <si>
    <t>Ticker</t>
  </si>
  <si>
    <t>Aktier USA</t>
  </si>
  <si>
    <t>Gennemsnitlig makroscore*</t>
  </si>
  <si>
    <t>Q3‑afkast (1/7‑29/7 2025)</t>
  </si>
  <si>
    <t>Kommentar</t>
  </si>
  <si>
    <t>Høje makroscorer og klart højeste kvartalsafkast – IT‑sektoren fortsætter dermed med at føre an.</t>
  </si>
  <si>
    <t>Stærk makroscore og solidt kvartalsafkast; bekræfter at industrisektoren klarer sig godt i opsvinget.</t>
  </si>
  <si>
    <t>Højeste makroscore i USA; kvartalsafkastet er positivt, men lavere end IT.</t>
  </si>
  <si>
    <t>Real Estate</t>
  </si>
  <si>
    <t>Moderate makroscorer og et moderat, men positivt Q3‑afkast – sektoren er i genopretning.</t>
  </si>
  <si>
    <t>Consumer Discretionary</t>
  </si>
  <si>
    <t>Mellemstore makroscorer; Q3‑afkastet er positivt, om end lavere end IT og Industrials.</t>
  </si>
  <si>
    <t>Trods lave makroscorer leverer Utilities et godt Q3‑afkast; defensive aktier performer ofte relativt stabilt.</t>
  </si>
  <si>
    <t>Lav/middel makroscore og svagt kvartalsafkast – overensstemmelse.</t>
  </si>
  <si>
    <t>Moderate makroscorer men næsten fladt Q3‑afkast; sektoren har tabt momentum siden foråret.</t>
  </si>
  <si>
    <t>Communications Services</t>
  </si>
  <si>
    <t>Makroscoren er relativt høj, men sektoren er en af få med negativt kvartalsafkast; skyldes sandsynligvis kursfald i store medieselskaber.</t>
  </si>
  <si>
    <t>Consumer Staples</t>
  </si>
  <si>
    <t>Lave makroscorer og negativt Q3‑afkast – defensiv sektor presset af det tidlige opsving.</t>
  </si>
  <si>
    <t>Health Care</t>
  </si>
  <si>
    <t>Laveste makroscorer og dårligste kvartalsafkast; bekræfter at sektoren underperformer i den nuværende fase.</t>
  </si>
  <si>
    <t>Q1 2026</t>
  </si>
  <si>
    <t>Q2 2026</t>
  </si>
  <si>
    <t>&lt;</t>
  </si>
  <si>
    <t>&lt;&lt;&lt;&lt;&lt;&lt;&lt;&lt;&lt;&lt;&lt;</t>
  </si>
  <si>
    <t>1 760</t>
  </si>
  <si>
    <t>1 850</t>
  </si>
  <si>
    <t>1 800</t>
  </si>
  <si>
    <t>Total</t>
  </si>
  <si>
    <t>Gennemsnit</t>
  </si>
  <si>
    <t>Shares outstanding</t>
  </si>
  <si>
    <t>EPS Growth - The Fair Value Journal</t>
  </si>
  <si>
    <t>Til enkelt aktier</t>
  </si>
  <si>
    <t>Stock ticker</t>
  </si>
  <si>
    <t>Best performer</t>
  </si>
  <si>
    <t>Total Revenue</t>
  </si>
  <si>
    <t>Total Cash and Cash Equivalents</t>
  </si>
  <si>
    <t>Total Equity</t>
  </si>
  <si>
    <t>Total Debt</t>
  </si>
  <si>
    <t>Minority Interests</t>
  </si>
  <si>
    <t>Non-operating Assets</t>
  </si>
  <si>
    <t>Shares Outstanding</t>
  </si>
  <si>
    <t>Revenue Growth (%) – Year 1</t>
  </si>
  <si>
    <t>Revenue Growth (%) – Years 2–5</t>
  </si>
  <si>
    <t>Terminal Revenue Growth (%) – Year 10</t>
  </si>
  <si>
    <t>Initial Cost of Capital (%)</t>
  </si>
  <si>
    <t>Terminal Cost of Capital (%)</t>
  </si>
  <si>
    <t>Initial Tax Rate (%)</t>
  </si>
  <si>
    <t>Terminal Tax Rate (%)</t>
  </si>
  <si>
    <t>Initial Operating Margin (%)</t>
  </si>
  <si>
    <t>Terminal Operating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</si>
</sst>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11"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theme="1"/>
      <name val="Aptos Narrow"/>
      <family val="2"/>
      <scheme val="minor"/>
    </font>
    <font>
      <b/>
      <sz val="14"/>
      <color theme="1"/>
      <name val="Aptos Narrow"/>
      <family val="2"/>
      <scheme val="minor"/>
    </font>
    <font>
      <b/>
      <sz val="14"/>
      <color rgb="FFFF0000"/>
      <name val="Aptos Narrow"/>
      <family val="2"/>
      <scheme val="minor"/>
    </font>
    <font>
      <b/>
      <sz val="11"/>
      <color theme="0"/>
      <name val="Aptos Narrow"/>
      <family val="2"/>
      <scheme val="minor"/>
    </font>
    <font>
      <b/>
      <sz val="11"/>
      <color rgb="FFFFFFFF"/>
      <name val="Calibri"/>
      <family val="2"/>
    </font>
    <font>
      <b/>
      <sz val="11"/>
      <name val="Aptos Narrow"/>
      <family val="2"/>
      <scheme val="minor"/>
    </font>
    <font>
      <u/>
      <sz val="11"/>
      <color theme="10"/>
      <name val="Aptos Narrow"/>
      <family val="2"/>
      <scheme val="minor"/>
    </font>
    <font>
      <b/>
      <sz val="12"/>
      <color rgb="FF364151"/>
      <name val="Arial"/>
      <family val="2"/>
    </font>
  </fonts>
  <fills count="1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9999"/>
        <bgColor indexed="64"/>
      </patternFill>
    </fill>
    <fill>
      <patternFill patternType="solid">
        <fgColor theme="0" tint="-0.249977111117893"/>
        <bgColor indexed="64"/>
      </patternFill>
    </fill>
    <fill>
      <patternFill patternType="solid">
        <fgColor rgb="FFFF505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rgb="FF4F81BD"/>
        <bgColor rgb="FF4F81BD"/>
      </patternFill>
    </fill>
    <fill>
      <patternFill patternType="solid">
        <fgColor theme="9" tint="-0.499984740745262"/>
        <bgColor indexed="64"/>
      </patternFill>
    </fill>
    <fill>
      <patternFill patternType="solid">
        <fgColor rgb="FF002060"/>
        <bgColor indexed="64"/>
      </patternFill>
    </fill>
    <fill>
      <patternFill patternType="solid">
        <fgColor theme="1"/>
        <bgColor indexed="64"/>
      </patternFill>
    </fill>
    <fill>
      <patternFill patternType="solid">
        <fgColor theme="0" tint="-0.14999847407452621"/>
        <bgColor indexed="64"/>
      </patternFill>
    </fill>
  </fills>
  <borders count="32">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43" fontId="3" fillId="0" borderId="0"/>
    <xf numFmtId="9" fontId="3" fillId="0" borderId="0"/>
    <xf numFmtId="0" fontId="9" fillId="0" borderId="0" applyNumberFormat="0" applyFill="0" applyBorder="0" applyAlignment="0" applyProtection="0"/>
  </cellStyleXfs>
  <cellXfs count="140">
    <xf numFmtId="0" fontId="0" fillId="0" borderId="0" xfId="0"/>
    <xf numFmtId="0" fontId="1" fillId="0" borderId="0" xfId="0" applyFont="1"/>
    <xf numFmtId="0" fontId="1" fillId="0" borderId="0" xfId="0" applyFont="1" applyAlignment="1">
      <alignment horizontal="center"/>
    </xf>
    <xf numFmtId="0" fontId="2" fillId="0" borderId="6" xfId="0" applyFont="1" applyBorder="1"/>
    <xf numFmtId="0" fontId="2" fillId="0" borderId="7" xfId="0" applyFont="1" applyBorder="1"/>
    <xf numFmtId="0" fontId="2" fillId="0" borderId="8" xfId="0" applyFont="1" applyBorder="1"/>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0" fillId="3" borderId="2" xfId="0" applyFill="1" applyBorder="1" applyAlignment="1">
      <alignment horizontal="center"/>
    </xf>
    <xf numFmtId="0" fontId="0" fillId="5" borderId="2" xfId="0" applyFill="1" applyBorder="1" applyAlignment="1">
      <alignment horizontal="center"/>
    </xf>
    <xf numFmtId="0" fontId="0" fillId="4" borderId="3" xfId="0" applyFill="1" applyBorder="1" applyAlignment="1">
      <alignment horizontal="center"/>
    </xf>
    <xf numFmtId="0" fontId="0" fillId="2" borderId="0" xfId="0" quotePrefix="1" applyFill="1" applyAlignment="1">
      <alignment horizontal="center"/>
    </xf>
    <xf numFmtId="0" fontId="0" fillId="4"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4" borderId="4" xfId="0" applyFill="1" applyBorder="1" applyAlignment="1">
      <alignment horizontal="center"/>
    </xf>
    <xf numFmtId="0" fontId="0" fillId="2" borderId="4" xfId="0" quotePrefix="1" applyFill="1" applyBorder="1" applyAlignment="1">
      <alignment horizontal="center"/>
    </xf>
    <xf numFmtId="0" fontId="0" fillId="4" borderId="1" xfId="0" applyFill="1" applyBorder="1" applyAlignment="1">
      <alignment horizontal="center"/>
    </xf>
    <xf numFmtId="0" fontId="0" fillId="3" borderId="1" xfId="0" applyFill="1" applyBorder="1" applyAlignment="1">
      <alignment horizontal="center"/>
    </xf>
    <xf numFmtId="0" fontId="0" fillId="2" borderId="5" xfId="0" quotePrefix="1" applyFill="1" applyBorder="1" applyAlignment="1">
      <alignment horizontal="center"/>
    </xf>
    <xf numFmtId="0" fontId="0" fillId="6" borderId="0" xfId="0" quotePrefix="1" applyFill="1" applyAlignment="1">
      <alignment horizontal="center"/>
    </xf>
    <xf numFmtId="0" fontId="0" fillId="6" borderId="1" xfId="0" quotePrefix="1" applyFill="1" applyBorder="1" applyAlignment="1">
      <alignment horizontal="center"/>
    </xf>
    <xf numFmtId="0" fontId="0" fillId="6" borderId="4" xfId="0" quotePrefix="1" applyFill="1" applyBorder="1" applyAlignment="1">
      <alignment horizontal="center"/>
    </xf>
    <xf numFmtId="10" fontId="0" fillId="0" borderId="0" xfId="0" applyNumberFormat="1"/>
    <xf numFmtId="9" fontId="0" fillId="0" borderId="0" xfId="0" applyNumberFormat="1"/>
    <xf numFmtId="0" fontId="2" fillId="0" borderId="1" xfId="0" applyFont="1" applyBorder="1"/>
    <xf numFmtId="0" fontId="0" fillId="0" borderId="1" xfId="0" applyBorder="1"/>
    <xf numFmtId="0" fontId="1" fillId="0" borderId="1" xfId="0" applyFont="1" applyBorder="1"/>
    <xf numFmtId="0" fontId="1" fillId="0" borderId="10" xfId="0" applyFont="1" applyBorder="1"/>
    <xf numFmtId="0" fontId="0" fillId="0" borderId="10" xfId="0" applyBorder="1"/>
    <xf numFmtId="4" fontId="0" fillId="0" borderId="0" xfId="0" applyNumberFormat="1"/>
    <xf numFmtId="1" fontId="0" fillId="0" borderId="0" xfId="0" applyNumberFormat="1"/>
    <xf numFmtId="3"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2" applyNumberFormat="1" applyFont="1" applyAlignment="1">
      <alignment vertical="center" wrapText="1"/>
    </xf>
    <xf numFmtId="0" fontId="0" fillId="0" borderId="0" xfId="0" applyAlignment="1">
      <alignment horizontal="center"/>
    </xf>
    <xf numFmtId="0" fontId="0" fillId="0" borderId="1" xfId="0" applyBorder="1" applyAlignment="1">
      <alignment horizontal="center"/>
    </xf>
    <xf numFmtId="0" fontId="1" fillId="0" borderId="12" xfId="0" applyFont="1" applyBorder="1" applyAlignment="1">
      <alignment horizontal="center" vertical="top"/>
    </xf>
    <xf numFmtId="0" fontId="1" fillId="0" borderId="0" xfId="0" applyFont="1" applyAlignment="1">
      <alignment vertical="center" wrapText="1"/>
    </xf>
    <xf numFmtId="10" fontId="0" fillId="0" borderId="0" xfId="0" applyNumberFormat="1" applyAlignment="1">
      <alignment vertical="center" wrapText="1"/>
    </xf>
    <xf numFmtId="0" fontId="0" fillId="7" borderId="0" xfId="0" applyFill="1"/>
    <xf numFmtId="0" fontId="1" fillId="7" borderId="1" xfId="0" applyFont="1" applyFill="1" applyBorder="1"/>
    <xf numFmtId="0" fontId="1" fillId="7" borderId="1" xfId="0" applyFont="1" applyFill="1" applyBorder="1" applyAlignment="1">
      <alignment horizontal="center"/>
    </xf>
    <xf numFmtId="0" fontId="1" fillId="7" borderId="0" xfId="0" applyFont="1" applyFill="1" applyAlignment="1">
      <alignment horizontal="center"/>
    </xf>
    <xf numFmtId="0" fontId="1" fillId="7" borderId="0" xfId="0" applyFont="1" applyFill="1"/>
    <xf numFmtId="0" fontId="5" fillId="7" borderId="0" xfId="0" applyFont="1" applyFill="1"/>
    <xf numFmtId="0" fontId="2" fillId="7" borderId="6" xfId="0" applyFont="1" applyFill="1" applyBorder="1"/>
    <xf numFmtId="0" fontId="0" fillId="7" borderId="0" xfId="0" applyFill="1" applyAlignment="1">
      <alignment horizontal="center"/>
    </xf>
    <xf numFmtId="1" fontId="0" fillId="7" borderId="0" xfId="0" applyNumberFormat="1" applyFill="1" applyAlignment="1">
      <alignment horizontal="center"/>
    </xf>
    <xf numFmtId="0" fontId="2" fillId="7" borderId="7" xfId="0" applyFont="1" applyFill="1" applyBorder="1"/>
    <xf numFmtId="0" fontId="2" fillId="7" borderId="8" xfId="0" applyFont="1" applyFill="1" applyBorder="1"/>
    <xf numFmtId="0" fontId="0" fillId="7" borderId="1" xfId="0" applyFill="1" applyBorder="1"/>
    <xf numFmtId="0" fontId="0" fillId="7" borderId="1" xfId="0" applyFill="1" applyBorder="1" applyAlignment="1">
      <alignment horizontal="center"/>
    </xf>
    <xf numFmtId="1" fontId="0" fillId="7" borderId="1" xfId="0" applyNumberFormat="1" applyFill="1" applyBorder="1" applyAlignment="1">
      <alignment horizontal="center"/>
    </xf>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0" xfId="0" applyFill="1"/>
    <xf numFmtId="0" fontId="0" fillId="5" borderId="17" xfId="0" applyFill="1" applyBorder="1"/>
    <xf numFmtId="0" fontId="0" fillId="5" borderId="18" xfId="0" applyFill="1" applyBorder="1"/>
    <xf numFmtId="0" fontId="0" fillId="5" borderId="19" xfId="0" applyFill="1" applyBorder="1"/>
    <xf numFmtId="0" fontId="0" fillId="5" borderId="20" xfId="0" applyFill="1" applyBorder="1"/>
    <xf numFmtId="0" fontId="1" fillId="0" borderId="0" xfId="0" applyFont="1" applyAlignment="1">
      <alignment horizontal="right"/>
    </xf>
    <xf numFmtId="9" fontId="0" fillId="0" borderId="0" xfId="2" applyFont="1"/>
    <xf numFmtId="0" fontId="1" fillId="0" borderId="21" xfId="0" applyFont="1" applyBorder="1"/>
    <xf numFmtId="0" fontId="1" fillId="0" borderId="22" xfId="0" applyFont="1" applyBorder="1"/>
    <xf numFmtId="0" fontId="1" fillId="0" borderId="23" xfId="0" applyFont="1" applyBorder="1"/>
    <xf numFmtId="164" fontId="0" fillId="7" borderId="6" xfId="0" applyNumberFormat="1" applyFill="1" applyBorder="1" applyAlignment="1">
      <alignment horizontal="center"/>
    </xf>
    <xf numFmtId="164" fontId="0" fillId="7" borderId="7" xfId="0" applyNumberFormat="1" applyFill="1" applyBorder="1" applyAlignment="1">
      <alignment horizontal="center"/>
    </xf>
    <xf numFmtId="164" fontId="0" fillId="7" borderId="8" xfId="0" applyNumberFormat="1" applyFill="1" applyBorder="1" applyAlignment="1">
      <alignment horizontal="center"/>
    </xf>
    <xf numFmtId="9" fontId="0" fillId="0" borderId="1" xfId="2" applyFont="1" applyBorder="1"/>
    <xf numFmtId="165" fontId="0" fillId="0" borderId="0" xfId="0" applyNumberFormat="1"/>
    <xf numFmtId="43" fontId="0" fillId="0" borderId="0" xfId="1" applyFont="1"/>
    <xf numFmtId="166" fontId="0" fillId="0" borderId="0" xfId="1" applyNumberFormat="1" applyFont="1"/>
    <xf numFmtId="0" fontId="7" fillId="10" borderId="0" xfId="0" applyFont="1" applyFill="1"/>
    <xf numFmtId="0" fontId="1" fillId="0" borderId="24" xfId="0" applyFont="1" applyBorder="1" applyAlignment="1">
      <alignment horizontal="center"/>
    </xf>
    <xf numFmtId="164" fontId="0" fillId="0" borderId="0" xfId="0" applyNumberFormat="1" applyAlignment="1">
      <alignment horizontal="center"/>
    </xf>
    <xf numFmtId="0" fontId="7" fillId="0" borderId="0" xfId="0" applyFont="1"/>
    <xf numFmtId="43" fontId="0" fillId="14" borderId="12" xfId="1" applyFont="1" applyFill="1" applyBorder="1"/>
    <xf numFmtId="10" fontId="0" fillId="0" borderId="0" xfId="2" applyNumberFormat="1" applyFont="1"/>
    <xf numFmtId="0" fontId="0" fillId="7" borderId="27" xfId="0" applyFill="1" applyBorder="1" applyAlignment="1">
      <alignment horizontal="center"/>
    </xf>
    <xf numFmtId="0" fontId="0" fillId="7" borderId="2" xfId="0" applyFill="1" applyBorder="1" applyAlignment="1">
      <alignment horizontal="center"/>
    </xf>
    <xf numFmtId="0" fontId="0" fillId="7" borderId="28" xfId="0" applyFill="1" applyBorder="1" applyAlignment="1">
      <alignment horizontal="center"/>
    </xf>
    <xf numFmtId="0" fontId="0" fillId="7" borderId="29" xfId="0" applyFill="1" applyBorder="1" applyAlignment="1">
      <alignment horizontal="center"/>
    </xf>
    <xf numFmtId="0" fontId="0" fillId="7" borderId="2" xfId="0" applyFill="1" applyBorder="1"/>
    <xf numFmtId="164" fontId="0" fillId="7" borderId="4" xfId="0" applyNumberFormat="1" applyFill="1" applyBorder="1" applyAlignment="1">
      <alignment horizontal="center"/>
    </xf>
    <xf numFmtId="164" fontId="0" fillId="7" borderId="5" xfId="0" applyNumberFormat="1" applyFill="1" applyBorder="1" applyAlignment="1">
      <alignment horizontal="center"/>
    </xf>
    <xf numFmtId="164" fontId="0" fillId="7" borderId="3" xfId="0" applyNumberFormat="1" applyFill="1" applyBorder="1" applyAlignment="1">
      <alignment horizontal="center"/>
    </xf>
    <xf numFmtId="0" fontId="0" fillId="0" borderId="0" xfId="0" applyAlignment="1">
      <alignment vertical="center"/>
    </xf>
    <xf numFmtId="43" fontId="3" fillId="0" borderId="0" xfId="1"/>
    <xf numFmtId="165" fontId="0" fillId="0" borderId="1" xfId="2" applyNumberFormat="1" applyFont="1" applyBorder="1"/>
    <xf numFmtId="0" fontId="0" fillId="14" borderId="0" xfId="0" applyFill="1"/>
    <xf numFmtId="0" fontId="1" fillId="14" borderId="0" xfId="0" applyFont="1" applyFill="1"/>
    <xf numFmtId="0" fontId="0" fillId="14" borderId="20" xfId="0" applyFill="1" applyBorder="1" applyAlignment="1">
      <alignment vertical="center" wrapText="1"/>
    </xf>
    <xf numFmtId="0" fontId="0" fillId="14" borderId="0" xfId="0" applyFill="1" applyAlignment="1">
      <alignment vertical="center" wrapText="1"/>
    </xf>
    <xf numFmtId="43" fontId="3" fillId="14" borderId="0" xfId="1" applyFill="1" applyAlignment="1">
      <alignment horizontal="center"/>
    </xf>
    <xf numFmtId="0" fontId="1" fillId="14" borderId="0" xfId="0" applyFont="1" applyFill="1" applyAlignment="1">
      <alignment vertical="center" wrapText="1"/>
    </xf>
    <xf numFmtId="43" fontId="3" fillId="14" borderId="17" xfId="1" applyFill="1" applyBorder="1" applyAlignment="1">
      <alignment horizontal="center"/>
    </xf>
    <xf numFmtId="0" fontId="1" fillId="14" borderId="0" xfId="0" applyFont="1" applyFill="1" applyAlignment="1">
      <alignment horizontal="center" vertical="center" wrapText="1"/>
    </xf>
    <xf numFmtId="43" fontId="3" fillId="14" borderId="30" xfId="1" applyFill="1" applyBorder="1" applyAlignment="1">
      <alignment horizontal="center"/>
    </xf>
    <xf numFmtId="43" fontId="3" fillId="14" borderId="31" xfId="1" applyFill="1" applyBorder="1" applyAlignment="1">
      <alignment horizontal="center"/>
    </xf>
    <xf numFmtId="43" fontId="3" fillId="14" borderId="19" xfId="1" applyFill="1" applyBorder="1" applyAlignment="1">
      <alignment horizontal="center"/>
    </xf>
    <xf numFmtId="43" fontId="3" fillId="14" borderId="20" xfId="1" applyFill="1" applyBorder="1" applyAlignment="1">
      <alignment horizontal="center"/>
    </xf>
    <xf numFmtId="0" fontId="1" fillId="14" borderId="22" xfId="0" applyFont="1" applyFill="1" applyBorder="1" applyAlignment="1">
      <alignment horizontal="center"/>
    </xf>
    <xf numFmtId="0" fontId="1" fillId="14" borderId="23" xfId="0" applyFont="1" applyFill="1" applyBorder="1" applyAlignment="1">
      <alignment horizontal="center"/>
    </xf>
    <xf numFmtId="0" fontId="1" fillId="14" borderId="25" xfId="0" applyFont="1" applyFill="1" applyBorder="1"/>
    <xf numFmtId="0" fontId="1" fillId="14" borderId="30" xfId="0" applyFont="1" applyFill="1" applyBorder="1"/>
    <xf numFmtId="0" fontId="1" fillId="14" borderId="31" xfId="0" applyFont="1" applyFill="1" applyBorder="1"/>
    <xf numFmtId="0" fontId="1" fillId="14" borderId="25" xfId="0" applyFont="1" applyFill="1" applyBorder="1" applyAlignment="1">
      <alignment horizontal="center"/>
    </xf>
    <xf numFmtId="43" fontId="0" fillId="14" borderId="25" xfId="0" applyNumberFormat="1" applyFill="1" applyBorder="1"/>
    <xf numFmtId="43" fontId="0" fillId="14" borderId="22" xfId="0" applyNumberFormat="1" applyFill="1" applyBorder="1"/>
    <xf numFmtId="0" fontId="9" fillId="14" borderId="0" xfId="3" applyFill="1"/>
    <xf numFmtId="43" fontId="1" fillId="14" borderId="22" xfId="1" applyFont="1" applyFill="1" applyBorder="1" applyAlignment="1">
      <alignment horizontal="center"/>
    </xf>
    <xf numFmtId="43" fontId="1" fillId="14" borderId="23" xfId="1" applyFont="1" applyFill="1" applyBorder="1" applyAlignment="1">
      <alignment horizontal="center"/>
    </xf>
    <xf numFmtId="43" fontId="3" fillId="14" borderId="13" xfId="1" applyFill="1" applyBorder="1" applyAlignment="1">
      <alignment horizontal="center"/>
    </xf>
    <xf numFmtId="43" fontId="3" fillId="14" borderId="14" xfId="1" applyFill="1" applyBorder="1" applyAlignment="1">
      <alignment horizontal="center"/>
    </xf>
    <xf numFmtId="43" fontId="3" fillId="14" borderId="15" xfId="1" applyFill="1" applyBorder="1" applyAlignment="1">
      <alignment horizontal="center"/>
    </xf>
    <xf numFmtId="0" fontId="0" fillId="14" borderId="18" xfId="0" applyFill="1" applyBorder="1" applyAlignment="1">
      <alignment horizontal="center"/>
    </xf>
    <xf numFmtId="0" fontId="0" fillId="14" borderId="19" xfId="0" applyFill="1" applyBorder="1" applyAlignment="1">
      <alignment horizontal="center" vertical="center"/>
    </xf>
    <xf numFmtId="0" fontId="10" fillId="0" borderId="0" xfId="0" applyFont="1"/>
    <xf numFmtId="0" fontId="6" fillId="13" borderId="0" xfId="0" applyFont="1" applyFill="1" applyAlignment="1">
      <alignment horizontal="center"/>
    </xf>
    <xf numFmtId="0" fontId="6" fillId="13" borderId="17" xfId="0" applyFont="1" applyFill="1" applyBorder="1" applyAlignment="1">
      <alignment horizontal="center"/>
    </xf>
    <xf numFmtId="0" fontId="0" fillId="0" borderId="0" xfId="0"/>
    <xf numFmtId="0" fontId="0" fillId="0" borderId="17" xfId="0" applyBorder="1"/>
    <xf numFmtId="0" fontId="6" fillId="9" borderId="25" xfId="0" applyFont="1" applyFill="1" applyBorder="1" applyAlignment="1">
      <alignment horizontal="center"/>
    </xf>
    <xf numFmtId="0" fontId="0" fillId="0" borderId="22" xfId="0" applyBorder="1"/>
    <xf numFmtId="0" fontId="0" fillId="0" borderId="23" xfId="0" applyBorder="1"/>
    <xf numFmtId="0" fontId="6" fillId="13" borderId="25" xfId="0" applyFont="1" applyFill="1" applyBorder="1" applyAlignment="1">
      <alignment horizontal="center"/>
    </xf>
    <xf numFmtId="0" fontId="6" fillId="11" borderId="25" xfId="0" applyFont="1" applyFill="1" applyBorder="1" applyAlignment="1">
      <alignment horizontal="center"/>
    </xf>
    <xf numFmtId="0" fontId="6" fillId="12" borderId="25" xfId="0" applyFont="1" applyFill="1" applyBorder="1" applyAlignment="1">
      <alignment horizontal="center"/>
    </xf>
    <xf numFmtId="0" fontId="8" fillId="2" borderId="25" xfId="0" applyFont="1" applyFill="1" applyBorder="1" applyAlignment="1">
      <alignment horizontal="center"/>
    </xf>
    <xf numFmtId="0" fontId="1" fillId="8" borderId="25" xfId="0" applyFont="1" applyFill="1" applyBorder="1" applyAlignment="1">
      <alignment horizontal="center"/>
    </xf>
    <xf numFmtId="0" fontId="4" fillId="0" borderId="26" xfId="0" applyFont="1" applyBorder="1" applyAlignment="1">
      <alignment horizontal="center"/>
    </xf>
    <xf numFmtId="0" fontId="0" fillId="0" borderId="10" xfId="0" applyBorder="1"/>
    <xf numFmtId="0" fontId="0" fillId="0" borderId="11" xfId="0" applyBorder="1"/>
  </cellXfs>
  <cellStyles count="4">
    <cellStyle name="Komma" xfId="1" builtinId="3"/>
    <cellStyle name="Link" xfId="3" builtinId="8"/>
    <cellStyle name="Normal" xfId="0" builtinId="0"/>
    <cellStyle name="Procent" xfId="2" builtinId="5"/>
  </cellStyles>
  <dxfs count="26">
    <dxf>
      <fill>
        <patternFill>
          <bgColor theme="9" tint="0.59996337778862885"/>
        </patternFill>
      </fill>
    </dxf>
    <dxf>
      <fill>
        <patternFill>
          <bgColor theme="5"/>
        </patternFill>
      </fill>
    </dxf>
    <dxf>
      <fill>
        <patternFill>
          <bgColor rgb="FFFFC000"/>
        </patternFill>
      </fill>
    </dxf>
    <dxf>
      <fill>
        <patternFill>
          <bgColor rgb="FFFF0000"/>
        </patternFill>
      </fill>
    </dxf>
    <dxf>
      <fill>
        <patternFill>
          <bgColor theme="9" tint="0.59996337778862885"/>
        </patternFill>
      </fill>
    </dxf>
    <dxf>
      <fill>
        <patternFill>
          <bgColor theme="5"/>
        </patternFill>
      </fill>
    </dxf>
    <dxf>
      <fill>
        <patternFill>
          <bgColor rgb="FFFFC000"/>
        </patternFill>
      </fill>
    </dxf>
    <dxf>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 Target="richData/rdrichvalue.xml"/><Relationship Id="rId38"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ichStyles" Target="richData/rich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da-DK"/>
              <a:t>Fremtid MarketScore DK</a:t>
            </a:r>
          </a:p>
        </c:rich>
      </c:tx>
      <c:overlay val="0"/>
      <c:spPr>
        <a:noFill/>
        <a:ln>
          <a:noFill/>
          <a:prstDash val="solid"/>
        </a:ln>
      </c:spPr>
    </c:title>
    <c:autoTitleDeleted val="0"/>
    <c:plotArea>
      <c:layout/>
      <c:lineChart>
        <c:grouping val="standard"/>
        <c:varyColors val="0"/>
        <c:ser>
          <c:idx val="0"/>
          <c:order val="0"/>
          <c:tx>
            <c:strRef>
              <c:f>'Makro analyse'!$K$29</c:f>
              <c:strCache>
                <c:ptCount val="1"/>
                <c:pt idx="0">
                  <c:v>Q1 2026</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analyse'!$K$31:$K$41</c:f>
              <c:numCache>
                <c:formatCode>0.0</c:formatCode>
                <c:ptCount val="11"/>
                <c:pt idx="0">
                  <c:v>3.5836000000000001</c:v>
                </c:pt>
                <c:pt idx="1">
                  <c:v>2.3891</c:v>
                </c:pt>
                <c:pt idx="2">
                  <c:v>3.6947000000000001</c:v>
                </c:pt>
                <c:pt idx="3">
                  <c:v>4.4725999999999999</c:v>
                </c:pt>
                <c:pt idx="4">
                  <c:v>3.6947000000000001</c:v>
                </c:pt>
                <c:pt idx="5">
                  <c:v>2.278</c:v>
                </c:pt>
                <c:pt idx="6">
                  <c:v>2.4169999999999998</c:v>
                </c:pt>
                <c:pt idx="7">
                  <c:v>2.8891999999999998</c:v>
                </c:pt>
                <c:pt idx="8">
                  <c:v>3.0004</c:v>
                </c:pt>
                <c:pt idx="9">
                  <c:v>3.8336999999999999</c:v>
                </c:pt>
                <c:pt idx="10">
                  <c:v>2.1114000000000002</c:v>
                </c:pt>
              </c:numCache>
            </c:numRef>
          </c:val>
          <c:smooth val="0"/>
          <c:extLst>
            <c:ext xmlns:c16="http://schemas.microsoft.com/office/drawing/2014/chart" uri="{C3380CC4-5D6E-409C-BE32-E72D297353CC}">
              <c16:uniqueId val="{00000000-457E-4F9D-A292-FB557A76EA02}"/>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analyse'!$L$31:$L$41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457E-4F9D-A292-FB557A76EA02}"/>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analyse'!$M$31:$M$41</c:f>
              <c:numCache>
                <c:formatCode>General</c:formatCode>
                <c:ptCount val="11"/>
                <c:pt idx="0">
                  <c:v>3</c:v>
                </c:pt>
                <c:pt idx="1">
                  <c:v>4</c:v>
                </c:pt>
                <c:pt idx="2">
                  <c:v>1</c:v>
                </c:pt>
                <c:pt idx="3">
                  <c:v>2</c:v>
                </c:pt>
                <c:pt idx="4">
                  <c:v>3</c:v>
                </c:pt>
                <c:pt idx="5">
                  <c:v>4</c:v>
                </c:pt>
                <c:pt idx="6">
                  <c:v>3</c:v>
                </c:pt>
                <c:pt idx="7">
                  <c:v>3</c:v>
                </c:pt>
                <c:pt idx="8">
                  <c:v>5</c:v>
                </c:pt>
                <c:pt idx="9">
                  <c:v>3</c:v>
                </c:pt>
                <c:pt idx="10">
                  <c:v>4</c:v>
                </c:pt>
              </c:numCache>
            </c:numRef>
          </c:val>
          <c:smooth val="0"/>
          <c:extLst>
            <c:ext xmlns:c16="http://schemas.microsoft.com/office/drawing/2014/chart" uri="{C3380CC4-5D6E-409C-BE32-E72D297353CC}">
              <c16:uniqueId val="{00000002-457E-4F9D-A292-FB557A76EA02}"/>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analyse'!$N$31:$N$41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3-457E-4F9D-A292-FB557A76EA02}"/>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analyse'!$O$31:$O$41</c:f>
              <c:numCache>
                <c:formatCode>General</c:formatCode>
                <c:ptCount val="11"/>
                <c:pt idx="0">
                  <c:v>4</c:v>
                </c:pt>
                <c:pt idx="1">
                  <c:v>5</c:v>
                </c:pt>
                <c:pt idx="2">
                  <c:v>5</c:v>
                </c:pt>
                <c:pt idx="3">
                  <c:v>4</c:v>
                </c:pt>
                <c:pt idx="4">
                  <c:v>5</c:v>
                </c:pt>
                <c:pt idx="5">
                  <c:v>4</c:v>
                </c:pt>
                <c:pt idx="6">
                  <c:v>2</c:v>
                </c:pt>
                <c:pt idx="7">
                  <c:v>2</c:v>
                </c:pt>
                <c:pt idx="8">
                  <c:v>2</c:v>
                </c:pt>
                <c:pt idx="9">
                  <c:v>3</c:v>
                </c:pt>
                <c:pt idx="10">
                  <c:v>2</c:v>
                </c:pt>
              </c:numCache>
            </c:numRef>
          </c:val>
          <c:smooth val="0"/>
          <c:extLst>
            <c:ext xmlns:c16="http://schemas.microsoft.com/office/drawing/2014/chart" uri="{C3380CC4-5D6E-409C-BE32-E72D297353CC}">
              <c16:uniqueId val="{00000004-457E-4F9D-A292-FB557A76EA02}"/>
            </c:ext>
          </c:extLst>
        </c:ser>
        <c:ser>
          <c:idx val="5"/>
          <c:order val="5"/>
          <c:tx>
            <c:strRef>
              <c:f>'Makro analyse'!$T$29</c:f>
              <c:strCache>
                <c:ptCount val="1"/>
                <c:pt idx="0">
                  <c:v>Q2 2026</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analyse'!$T$31:$T$41</c:f>
              <c:numCache>
                <c:formatCode>0.0</c:formatCode>
                <c:ptCount val="11"/>
                <c:pt idx="0">
                  <c:v>3.6947999999999999</c:v>
                </c:pt>
                <c:pt idx="1">
                  <c:v>3.3614000000000002</c:v>
                </c:pt>
                <c:pt idx="2">
                  <c:v>3.3335999999999997</c:v>
                </c:pt>
                <c:pt idx="3">
                  <c:v>3.8336999999999999</c:v>
                </c:pt>
                <c:pt idx="4">
                  <c:v>3.9447999999999999</c:v>
                </c:pt>
                <c:pt idx="5">
                  <c:v>3.1114000000000002</c:v>
                </c:pt>
                <c:pt idx="6">
                  <c:v>2.3058000000000001</c:v>
                </c:pt>
                <c:pt idx="7">
                  <c:v>2.7502999999999997</c:v>
                </c:pt>
                <c:pt idx="8">
                  <c:v>3.3614999999999999</c:v>
                </c:pt>
                <c:pt idx="9">
                  <c:v>3.4447999999999999</c:v>
                </c:pt>
                <c:pt idx="10">
                  <c:v>2.6114000000000002</c:v>
                </c:pt>
              </c:numCache>
            </c:numRef>
          </c:val>
          <c:smooth val="0"/>
          <c:extLst>
            <c:ext xmlns:c16="http://schemas.microsoft.com/office/drawing/2014/chart" uri="{C3380CC4-5D6E-409C-BE32-E72D297353CC}">
              <c16:uniqueId val="{00000005-457E-4F9D-A292-FB557A76EA02}"/>
            </c:ext>
          </c:extLst>
        </c:ser>
        <c:dLbls>
          <c:dLblPos val="ctr"/>
          <c:showLegendKey val="0"/>
          <c:showVal val="1"/>
          <c:showCatName val="0"/>
          <c:showSerName val="0"/>
          <c:showPercent val="0"/>
          <c:showBubbleSize val="0"/>
        </c:dLbls>
        <c:marker val="1"/>
        <c:smooth val="0"/>
        <c:axId val="567859359"/>
        <c:axId val="567866559"/>
      </c:lineChart>
      <c:catAx>
        <c:axId val="567859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567866559"/>
        <c:crosses val="autoZero"/>
        <c:auto val="1"/>
        <c:lblAlgn val="ctr"/>
        <c:lblOffset val="100"/>
        <c:noMultiLvlLbl val="0"/>
      </c:catAx>
      <c:valAx>
        <c:axId val="567866559"/>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567859359"/>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Fremtid MarketScore EU</a:t>
            </a:r>
          </a:p>
        </c:rich>
      </c:tx>
      <c:overlay val="0"/>
      <c:spPr>
        <a:noFill/>
        <a:ln>
          <a:noFill/>
          <a:prstDash val="solid"/>
        </a:ln>
      </c:spPr>
    </c:title>
    <c:autoTitleDeleted val="0"/>
    <c:plotArea>
      <c:layout/>
      <c:lineChart>
        <c:grouping val="standard"/>
        <c:varyColors val="0"/>
        <c:ser>
          <c:idx val="0"/>
          <c:order val="0"/>
          <c:tx>
            <c:strRef>
              <c:f>'Makro analyse'!$K$69</c:f>
              <c:strCache>
                <c:ptCount val="1"/>
                <c:pt idx="0">
                  <c:v>Q1 2026</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analyse'!$K$71:$K$81</c:f>
              <c:numCache>
                <c:formatCode>0.0</c:formatCode>
                <c:ptCount val="11"/>
                <c:pt idx="0">
                  <c:v>3.3614000000000002</c:v>
                </c:pt>
                <c:pt idx="1">
                  <c:v>3.0836999999999999</c:v>
                </c:pt>
                <c:pt idx="2">
                  <c:v>3.9726000000000004</c:v>
                </c:pt>
                <c:pt idx="3">
                  <c:v>4.3615000000000004</c:v>
                </c:pt>
                <c:pt idx="4">
                  <c:v>3.9726000000000004</c:v>
                </c:pt>
                <c:pt idx="5">
                  <c:v>2.7780999999999998</c:v>
                </c:pt>
                <c:pt idx="6">
                  <c:v>2.6391999999999998</c:v>
                </c:pt>
                <c:pt idx="7">
                  <c:v>2.3891</c:v>
                </c:pt>
                <c:pt idx="8">
                  <c:v>2.7225000000000001</c:v>
                </c:pt>
                <c:pt idx="9">
                  <c:v>3.5280999999999998</c:v>
                </c:pt>
                <c:pt idx="10">
                  <c:v>2.028</c:v>
                </c:pt>
              </c:numCache>
            </c:numRef>
          </c:val>
          <c:smooth val="0"/>
          <c:extLst>
            <c:ext xmlns:c16="http://schemas.microsoft.com/office/drawing/2014/chart" uri="{C3380CC4-5D6E-409C-BE32-E72D297353CC}">
              <c16:uniqueId val="{00000000-7F26-422F-87A4-F36EBDEFDCA0}"/>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analyse'!$L$71:$L$81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7F26-422F-87A4-F36EBDEFDCA0}"/>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analyse'!$M$71:$M$81</c:f>
              <c:numCache>
                <c:formatCode>General</c:formatCode>
                <c:ptCount val="11"/>
                <c:pt idx="0">
                  <c:v>3</c:v>
                </c:pt>
                <c:pt idx="1">
                  <c:v>2</c:v>
                </c:pt>
                <c:pt idx="2">
                  <c:v>3</c:v>
                </c:pt>
                <c:pt idx="3">
                  <c:v>4</c:v>
                </c:pt>
                <c:pt idx="4">
                  <c:v>3</c:v>
                </c:pt>
                <c:pt idx="5">
                  <c:v>1</c:v>
                </c:pt>
                <c:pt idx="6">
                  <c:v>2</c:v>
                </c:pt>
                <c:pt idx="7">
                  <c:v>3</c:v>
                </c:pt>
                <c:pt idx="8">
                  <c:v>3</c:v>
                </c:pt>
                <c:pt idx="9">
                  <c:v>4</c:v>
                </c:pt>
                <c:pt idx="10">
                  <c:v>2</c:v>
                </c:pt>
              </c:numCache>
            </c:numRef>
          </c:val>
          <c:smooth val="0"/>
          <c:extLst>
            <c:ext xmlns:c16="http://schemas.microsoft.com/office/drawing/2014/chart" uri="{C3380CC4-5D6E-409C-BE32-E72D297353CC}">
              <c16:uniqueId val="{00000002-7F26-422F-87A4-F36EBDEFDCA0}"/>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analyse'!$N$71:$N$81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3-7F26-422F-87A4-F36EBDEFDCA0}"/>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analyse'!$O$71:$O$81</c:f>
              <c:numCache>
                <c:formatCode>General</c:formatCode>
                <c:ptCount val="11"/>
                <c:pt idx="0">
                  <c:v>4</c:v>
                </c:pt>
                <c:pt idx="1">
                  <c:v>5</c:v>
                </c:pt>
                <c:pt idx="2">
                  <c:v>5</c:v>
                </c:pt>
                <c:pt idx="3">
                  <c:v>4</c:v>
                </c:pt>
                <c:pt idx="4">
                  <c:v>5</c:v>
                </c:pt>
                <c:pt idx="5">
                  <c:v>4</c:v>
                </c:pt>
                <c:pt idx="6">
                  <c:v>2</c:v>
                </c:pt>
                <c:pt idx="7">
                  <c:v>2</c:v>
                </c:pt>
                <c:pt idx="8">
                  <c:v>2</c:v>
                </c:pt>
                <c:pt idx="9">
                  <c:v>3</c:v>
                </c:pt>
                <c:pt idx="10">
                  <c:v>2</c:v>
                </c:pt>
              </c:numCache>
            </c:numRef>
          </c:val>
          <c:smooth val="0"/>
          <c:extLst>
            <c:ext xmlns:c16="http://schemas.microsoft.com/office/drawing/2014/chart" uri="{C3380CC4-5D6E-409C-BE32-E72D297353CC}">
              <c16:uniqueId val="{00000004-7F26-422F-87A4-F36EBDEFDCA0}"/>
            </c:ext>
          </c:extLst>
        </c:ser>
        <c:ser>
          <c:idx val="5"/>
          <c:order val="5"/>
          <c:tx>
            <c:strRef>
              <c:f>'Makro analyse'!$T$69</c:f>
              <c:strCache>
                <c:ptCount val="1"/>
                <c:pt idx="0">
                  <c:v>Q2 2026</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analyse'!$T$71:$T$81</c:f>
              <c:numCache>
                <c:formatCode>0.0</c:formatCode>
                <c:ptCount val="11"/>
                <c:pt idx="0">
                  <c:v>3.4725999999999999</c:v>
                </c:pt>
                <c:pt idx="1">
                  <c:v>2.528</c:v>
                </c:pt>
                <c:pt idx="2">
                  <c:v>3.6114999999999999</c:v>
                </c:pt>
                <c:pt idx="3">
                  <c:v>4.3338000000000001</c:v>
                </c:pt>
                <c:pt idx="4">
                  <c:v>3.6114999999999999</c:v>
                </c:pt>
                <c:pt idx="5">
                  <c:v>2.0834999999999999</c:v>
                </c:pt>
                <c:pt idx="6">
                  <c:v>2.2223999999999999</c:v>
                </c:pt>
                <c:pt idx="7">
                  <c:v>2.8613999999999997</c:v>
                </c:pt>
                <c:pt idx="8">
                  <c:v>3.0835999999999997</c:v>
                </c:pt>
                <c:pt idx="9">
                  <c:v>3.7504</c:v>
                </c:pt>
                <c:pt idx="10">
                  <c:v>2.2223999999999999</c:v>
                </c:pt>
              </c:numCache>
            </c:numRef>
          </c:val>
          <c:smooth val="0"/>
          <c:extLst>
            <c:ext xmlns:c16="http://schemas.microsoft.com/office/drawing/2014/chart" uri="{C3380CC4-5D6E-409C-BE32-E72D297353CC}">
              <c16:uniqueId val="{00000005-7F26-422F-87A4-F36EBDEFDCA0}"/>
            </c:ext>
          </c:extLst>
        </c:ser>
        <c:dLbls>
          <c:dLblPos val="ctr"/>
          <c:showLegendKey val="0"/>
          <c:showVal val="1"/>
          <c:showCatName val="0"/>
          <c:showSerName val="0"/>
          <c:showPercent val="0"/>
          <c:showBubbleSize val="0"/>
        </c:dLbls>
        <c:marker val="1"/>
        <c:smooth val="0"/>
        <c:axId val="777261807"/>
        <c:axId val="777264207"/>
      </c:lineChart>
      <c:catAx>
        <c:axId val="777261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777264207"/>
        <c:crosses val="autoZero"/>
        <c:auto val="1"/>
        <c:lblAlgn val="ctr"/>
        <c:lblOffset val="100"/>
        <c:noMultiLvlLbl val="0"/>
      </c:catAx>
      <c:valAx>
        <c:axId val="777264207"/>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777261807"/>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Fremtid MarketScore USA</a:t>
            </a:r>
          </a:p>
        </c:rich>
      </c:tx>
      <c:overlay val="0"/>
      <c:spPr>
        <a:noFill/>
        <a:ln>
          <a:noFill/>
          <a:prstDash val="solid"/>
        </a:ln>
      </c:spPr>
    </c:title>
    <c:autoTitleDeleted val="0"/>
    <c:plotArea>
      <c:layout/>
      <c:lineChart>
        <c:grouping val="standard"/>
        <c:varyColors val="0"/>
        <c:ser>
          <c:idx val="0"/>
          <c:order val="0"/>
          <c:tx>
            <c:strRef>
              <c:f>'Makro analyse'!$K$109</c:f>
              <c:strCache>
                <c:ptCount val="1"/>
                <c:pt idx="0">
                  <c:v>Q1 2026</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analyse'!$K$111:$K$121</c:f>
              <c:numCache>
                <c:formatCode>0.0</c:formatCode>
                <c:ptCount val="11"/>
                <c:pt idx="0">
                  <c:v>3.2502000000000004</c:v>
                </c:pt>
                <c:pt idx="1">
                  <c:v>3.1669999999999998</c:v>
                </c:pt>
                <c:pt idx="2">
                  <c:v>2.7500999999999998</c:v>
                </c:pt>
                <c:pt idx="3">
                  <c:v>3.5279999999999996</c:v>
                </c:pt>
                <c:pt idx="4">
                  <c:v>3.3613000000000004</c:v>
                </c:pt>
                <c:pt idx="5">
                  <c:v>2.7502999999999997</c:v>
                </c:pt>
                <c:pt idx="6">
                  <c:v>3.0559999999999996</c:v>
                </c:pt>
                <c:pt idx="7">
                  <c:v>2.8891999999999998</c:v>
                </c:pt>
                <c:pt idx="8">
                  <c:v>3.9450000000000003</c:v>
                </c:pt>
                <c:pt idx="9">
                  <c:v>3.3613999999999997</c:v>
                </c:pt>
                <c:pt idx="10">
                  <c:v>3.0559999999999996</c:v>
                </c:pt>
              </c:numCache>
            </c:numRef>
          </c:val>
          <c:smooth val="0"/>
          <c:extLst>
            <c:ext xmlns:c16="http://schemas.microsoft.com/office/drawing/2014/chart" uri="{C3380CC4-5D6E-409C-BE32-E72D297353CC}">
              <c16:uniqueId val="{00000000-1B29-43FF-A17E-3FDD193791E4}"/>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analyse'!$L$111:$L$121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1B29-43FF-A17E-3FDD193791E4}"/>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analyse'!$M$111:$M$121</c:f>
              <c:numCache>
                <c:formatCode>General</c:formatCode>
                <c:ptCount val="11"/>
                <c:pt idx="0">
                  <c:v>3</c:v>
                </c:pt>
                <c:pt idx="1">
                  <c:v>2</c:v>
                </c:pt>
                <c:pt idx="2">
                  <c:v>3</c:v>
                </c:pt>
                <c:pt idx="3">
                  <c:v>4</c:v>
                </c:pt>
                <c:pt idx="4">
                  <c:v>3</c:v>
                </c:pt>
                <c:pt idx="5">
                  <c:v>1</c:v>
                </c:pt>
                <c:pt idx="6">
                  <c:v>2</c:v>
                </c:pt>
                <c:pt idx="7">
                  <c:v>3</c:v>
                </c:pt>
                <c:pt idx="8">
                  <c:v>3</c:v>
                </c:pt>
                <c:pt idx="9">
                  <c:v>4</c:v>
                </c:pt>
                <c:pt idx="10">
                  <c:v>2</c:v>
                </c:pt>
              </c:numCache>
            </c:numRef>
          </c:val>
          <c:smooth val="0"/>
          <c:extLst>
            <c:ext xmlns:c16="http://schemas.microsoft.com/office/drawing/2014/chart" uri="{C3380CC4-5D6E-409C-BE32-E72D297353CC}">
              <c16:uniqueId val="{00000002-1B29-43FF-A17E-3FDD193791E4}"/>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analyse'!$N$111:$N$121</c:f>
              <c:numCache>
                <c:formatCode>General</c:formatCode>
                <c:ptCount val="11"/>
                <c:pt idx="0">
                  <c:v>2</c:v>
                </c:pt>
                <c:pt idx="1">
                  <c:v>3</c:v>
                </c:pt>
                <c:pt idx="2">
                  <c:v>2</c:v>
                </c:pt>
                <c:pt idx="3">
                  <c:v>3</c:v>
                </c:pt>
                <c:pt idx="4">
                  <c:v>2</c:v>
                </c:pt>
                <c:pt idx="5">
                  <c:v>3</c:v>
                </c:pt>
                <c:pt idx="6">
                  <c:v>4</c:v>
                </c:pt>
                <c:pt idx="7">
                  <c:v>3</c:v>
                </c:pt>
                <c:pt idx="8">
                  <c:v>5</c:v>
                </c:pt>
                <c:pt idx="9">
                  <c:v>3</c:v>
                </c:pt>
                <c:pt idx="10">
                  <c:v>4</c:v>
                </c:pt>
              </c:numCache>
            </c:numRef>
          </c:val>
          <c:smooth val="0"/>
          <c:extLst>
            <c:ext xmlns:c16="http://schemas.microsoft.com/office/drawing/2014/chart" uri="{C3380CC4-5D6E-409C-BE32-E72D297353CC}">
              <c16:uniqueId val="{00000003-1B29-43FF-A17E-3FDD193791E4}"/>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analyse'!$O$111:$O$121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4-1B29-43FF-A17E-3FDD193791E4}"/>
            </c:ext>
          </c:extLst>
        </c:ser>
        <c:ser>
          <c:idx val="5"/>
          <c:order val="5"/>
          <c:tx>
            <c:strRef>
              <c:f>'Makro analyse'!$T$109</c:f>
              <c:strCache>
                <c:ptCount val="1"/>
                <c:pt idx="0">
                  <c:v>Q2 2026</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analyse'!$T$111:$T$121</c:f>
              <c:numCache>
                <c:formatCode>0.0</c:formatCode>
                <c:ptCount val="11"/>
                <c:pt idx="0">
                  <c:v>3.3614000000000002</c:v>
                </c:pt>
                <c:pt idx="1">
                  <c:v>2.5002</c:v>
                </c:pt>
                <c:pt idx="2">
                  <c:v>3.4725000000000001</c:v>
                </c:pt>
                <c:pt idx="3">
                  <c:v>4.2504</c:v>
                </c:pt>
                <c:pt idx="4">
                  <c:v>3.4725000000000001</c:v>
                </c:pt>
                <c:pt idx="5">
                  <c:v>2.0834999999999999</c:v>
                </c:pt>
                <c:pt idx="6">
                  <c:v>2.3336000000000001</c:v>
                </c:pt>
                <c:pt idx="7">
                  <c:v>2.8891999999999998</c:v>
                </c:pt>
                <c:pt idx="8">
                  <c:v>3.2225999999999999</c:v>
                </c:pt>
                <c:pt idx="9">
                  <c:v>3.7225999999999999</c:v>
                </c:pt>
                <c:pt idx="10">
                  <c:v>2.3336000000000001</c:v>
                </c:pt>
              </c:numCache>
            </c:numRef>
          </c:val>
          <c:smooth val="0"/>
          <c:extLst>
            <c:ext xmlns:c16="http://schemas.microsoft.com/office/drawing/2014/chart" uri="{C3380CC4-5D6E-409C-BE32-E72D297353CC}">
              <c16:uniqueId val="{00000005-1B29-43FF-A17E-3FDD193791E4}"/>
            </c:ext>
          </c:extLst>
        </c:ser>
        <c:dLbls>
          <c:dLblPos val="ctr"/>
          <c:showLegendKey val="0"/>
          <c:showVal val="1"/>
          <c:showCatName val="0"/>
          <c:showSerName val="0"/>
          <c:showPercent val="0"/>
          <c:showBubbleSize val="0"/>
        </c:dLbls>
        <c:marker val="1"/>
        <c:smooth val="0"/>
        <c:axId val="1504582639"/>
        <c:axId val="1504592239"/>
      </c:lineChart>
      <c:catAx>
        <c:axId val="1504582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1504592239"/>
        <c:crosses val="autoZero"/>
        <c:auto val="1"/>
        <c:lblAlgn val="ctr"/>
        <c:lblOffset val="100"/>
        <c:noMultiLvlLbl val="0"/>
      </c:catAx>
      <c:valAx>
        <c:axId val="1504592239"/>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1504582639"/>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da-DK"/>
              <a:t>Makro </a:t>
            </a:r>
            <a:r>
              <a:rPr lang="da-DK" baseline="0"/>
              <a:t>Score DK</a:t>
            </a:r>
            <a:endParaRPr lang="da-DK"/>
          </a:p>
        </c:rich>
      </c:tx>
      <c:overlay val="0"/>
      <c:spPr>
        <a:noFill/>
        <a:ln>
          <a:noFill/>
          <a:prstDash val="solid"/>
        </a:ln>
      </c:spPr>
    </c:title>
    <c:autoTitleDeleted val="0"/>
    <c:plotArea>
      <c:layout/>
      <c:lineChart>
        <c:grouping val="standard"/>
        <c:varyColors val="0"/>
        <c:ser>
          <c:idx val="0"/>
          <c:order val="0"/>
          <c:tx>
            <c:strRef>
              <c:f>'Makro analyse (historisk)'!$B$31</c:f>
              <c:strCache>
                <c:ptCount val="1"/>
                <c:pt idx="0">
                  <c:v>Financials</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(historisk)'!$C$31:$AJ$31</c:f>
              <c:numCache>
                <c:formatCode>0.0</c:formatCode>
                <c:ptCount val="6"/>
                <c:pt idx="0">
                  <c:v>3.8</c:v>
                </c:pt>
                <c:pt idx="1">
                  <c:v>3.8</c:v>
                </c:pt>
                <c:pt idx="2">
                  <c:v>2.9</c:v>
                </c:pt>
                <c:pt idx="3">
                  <c:v>3.8</c:v>
                </c:pt>
                <c:pt idx="4">
                  <c:v>3.6000000000000005</c:v>
                </c:pt>
                <c:pt idx="5">
                  <c:v>4</c:v>
                </c:pt>
              </c:numCache>
            </c:numRef>
          </c:val>
          <c:smooth val="0"/>
          <c:extLst>
            <c:ext xmlns:c16="http://schemas.microsoft.com/office/drawing/2014/chart" uri="{C3380CC4-5D6E-409C-BE32-E72D297353CC}">
              <c16:uniqueId val="{00000000-18AD-4889-BEA6-54D8CEC4B57D}"/>
            </c:ext>
          </c:extLst>
        </c:ser>
        <c:ser>
          <c:idx val="1"/>
          <c:order val="1"/>
          <c:tx>
            <c:strRef>
              <c:f>'Makro analyse (historisk)'!$B$32</c:f>
              <c:strCache>
                <c:ptCount val="1"/>
                <c:pt idx="0">
                  <c:v>Real Estate</c:v>
                </c:pt>
              </c:strCache>
            </c:strRef>
          </c:tx>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(historisk)'!$C$32:$AJ$32</c:f>
              <c:numCache>
                <c:formatCode>0.0</c:formatCode>
                <c:ptCount val="6"/>
                <c:pt idx="0">
                  <c:v>4.5999999999999996</c:v>
                </c:pt>
                <c:pt idx="1">
                  <c:v>3.8</c:v>
                </c:pt>
                <c:pt idx="2">
                  <c:v>3.5999999999999996</c:v>
                </c:pt>
                <c:pt idx="3">
                  <c:v>4.4000000000000004</c:v>
                </c:pt>
                <c:pt idx="4">
                  <c:v>3.3</c:v>
                </c:pt>
                <c:pt idx="5">
                  <c:v>5</c:v>
                </c:pt>
              </c:numCache>
            </c:numRef>
          </c:val>
          <c:smooth val="0"/>
          <c:extLst>
            <c:ext xmlns:c16="http://schemas.microsoft.com/office/drawing/2014/chart" uri="{C3380CC4-5D6E-409C-BE32-E72D297353CC}">
              <c16:uniqueId val="{00000001-18AD-4889-BEA6-54D8CEC4B57D}"/>
            </c:ext>
          </c:extLst>
        </c:ser>
        <c:ser>
          <c:idx val="2"/>
          <c:order val="2"/>
          <c:tx>
            <c:strRef>
              <c:f>'Makro analyse (historisk)'!$B$33</c:f>
              <c:strCache>
                <c:ptCount val="1"/>
                <c:pt idx="0">
                  <c:v>Consumer Discretionary</c:v>
                </c:pt>
              </c:strCache>
            </c:strRef>
          </c:tx>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(historisk)'!$C$33:$AJ$33</c:f>
              <c:numCache>
                <c:formatCode>0.0</c:formatCode>
                <c:ptCount val="6"/>
                <c:pt idx="0">
                  <c:v>4.5999999999999996</c:v>
                </c:pt>
                <c:pt idx="1">
                  <c:v>4.4000000000000004</c:v>
                </c:pt>
                <c:pt idx="2">
                  <c:v>3</c:v>
                </c:pt>
                <c:pt idx="3">
                  <c:v>4.5999999999999996</c:v>
                </c:pt>
                <c:pt idx="4">
                  <c:v>4.3</c:v>
                </c:pt>
                <c:pt idx="5">
                  <c:v>5</c:v>
                </c:pt>
              </c:numCache>
            </c:numRef>
          </c:val>
          <c:smooth val="0"/>
          <c:extLst>
            <c:ext xmlns:c16="http://schemas.microsoft.com/office/drawing/2014/chart" uri="{C3380CC4-5D6E-409C-BE32-E72D297353CC}">
              <c16:uniqueId val="{00000002-18AD-4889-BEA6-54D8CEC4B57D}"/>
            </c:ext>
          </c:extLst>
        </c:ser>
        <c:ser>
          <c:idx val="3"/>
          <c:order val="3"/>
          <c:tx>
            <c:strRef>
              <c:f>'Makro analyse (historisk)'!$B$34</c:f>
              <c:strCache>
                <c:ptCount val="1"/>
                <c:pt idx="0">
                  <c:v>Information Technology</c:v>
                </c:pt>
              </c:strCache>
            </c:strRef>
          </c:tx>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(historisk)'!$C$34:$AJ$34</c:f>
              <c:numCache>
                <c:formatCode>0.0</c:formatCode>
                <c:ptCount val="6"/>
                <c:pt idx="0">
                  <c:v>3.8</c:v>
                </c:pt>
                <c:pt idx="1">
                  <c:v>4.2</c:v>
                </c:pt>
                <c:pt idx="2">
                  <c:v>2.7</c:v>
                </c:pt>
                <c:pt idx="3">
                  <c:v>4</c:v>
                </c:pt>
                <c:pt idx="4">
                  <c:v>3.7</c:v>
                </c:pt>
                <c:pt idx="5">
                  <c:v>4</c:v>
                </c:pt>
              </c:numCache>
            </c:numRef>
          </c:val>
          <c:smooth val="0"/>
          <c:extLst>
            <c:ext xmlns:c16="http://schemas.microsoft.com/office/drawing/2014/chart" uri="{C3380CC4-5D6E-409C-BE32-E72D297353CC}">
              <c16:uniqueId val="{00000003-18AD-4889-BEA6-54D8CEC4B57D}"/>
            </c:ext>
          </c:extLst>
        </c:ser>
        <c:ser>
          <c:idx val="4"/>
          <c:order val="4"/>
          <c:tx>
            <c:strRef>
              <c:f>'Makro analyse (historisk)'!$B$35</c:f>
              <c:strCache>
                <c:ptCount val="1"/>
                <c:pt idx="0">
                  <c:v>Industrials</c:v>
                </c:pt>
              </c:strCache>
            </c:strRef>
          </c:tx>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(historisk)'!$C$35:$AJ$35</c:f>
              <c:numCache>
                <c:formatCode>0.0</c:formatCode>
                <c:ptCount val="6"/>
                <c:pt idx="0">
                  <c:v>4.5999999999999996</c:v>
                </c:pt>
                <c:pt idx="1">
                  <c:v>4.8</c:v>
                </c:pt>
                <c:pt idx="2">
                  <c:v>3.4</c:v>
                </c:pt>
                <c:pt idx="3">
                  <c:v>4.5999999999999996</c:v>
                </c:pt>
                <c:pt idx="4">
                  <c:v>3.9</c:v>
                </c:pt>
                <c:pt idx="5">
                  <c:v>5</c:v>
                </c:pt>
              </c:numCache>
            </c:numRef>
          </c:val>
          <c:smooth val="0"/>
          <c:extLst>
            <c:ext xmlns:c16="http://schemas.microsoft.com/office/drawing/2014/chart" uri="{C3380CC4-5D6E-409C-BE32-E72D297353CC}">
              <c16:uniqueId val="{00000004-18AD-4889-BEA6-54D8CEC4B57D}"/>
            </c:ext>
          </c:extLst>
        </c:ser>
        <c:ser>
          <c:idx val="5"/>
          <c:order val="5"/>
          <c:tx>
            <c:strRef>
              <c:f>'Makro analyse (historisk)'!$B$36</c:f>
              <c:strCache>
                <c:ptCount val="1"/>
                <c:pt idx="0">
                  <c:v>Materials</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(historisk)'!$C$36:$AJ$36</c:f>
              <c:numCache>
                <c:formatCode>0.0</c:formatCode>
                <c:ptCount val="6"/>
                <c:pt idx="0">
                  <c:v>3.8</c:v>
                </c:pt>
                <c:pt idx="1">
                  <c:v>3.4000000000000004</c:v>
                </c:pt>
                <c:pt idx="2">
                  <c:v>3.4</c:v>
                </c:pt>
                <c:pt idx="3">
                  <c:v>3.6000000000000005</c:v>
                </c:pt>
                <c:pt idx="4">
                  <c:v>3.6000000000000005</c:v>
                </c:pt>
                <c:pt idx="5">
                  <c:v>3.8</c:v>
                </c:pt>
              </c:numCache>
            </c:numRef>
          </c:val>
          <c:smooth val="0"/>
          <c:extLst>
            <c:ext xmlns:c16="http://schemas.microsoft.com/office/drawing/2014/chart" uri="{C3380CC4-5D6E-409C-BE32-E72D297353CC}">
              <c16:uniqueId val="{00000005-18AD-4889-BEA6-54D8CEC4B57D}"/>
            </c:ext>
          </c:extLst>
        </c:ser>
        <c:ser>
          <c:idx val="6"/>
          <c:order val="6"/>
          <c:tx>
            <c:strRef>
              <c:f>'Makro analyse (historisk)'!$B$37</c:f>
              <c:strCache>
                <c:ptCount val="1"/>
                <c:pt idx="0">
                  <c:v>Consumer Staples</c:v>
                </c:pt>
              </c:strCache>
            </c:strRef>
          </c:tx>
          <c:spPr>
            <a:ln w="31750" cap="rnd">
              <a:solidFill>
                <a:schemeClr val="accent1">
                  <a:lumMod val="60000"/>
                </a:schemeClr>
              </a:solidFill>
              <a:prstDash val="solid"/>
              <a:round/>
            </a:ln>
          </c:spPr>
          <c:marker>
            <c:symbol val="circle"/>
            <c:size val="17"/>
            <c:spPr>
              <a:solidFill>
                <a:schemeClr val="accent1">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(historisk)'!$C$37:$AJ$37</c:f>
              <c:numCache>
                <c:formatCode>0.0</c:formatCode>
                <c:ptCount val="6"/>
                <c:pt idx="0">
                  <c:v>2.2000000000000002</c:v>
                </c:pt>
                <c:pt idx="1">
                  <c:v>1.8000000000000003</c:v>
                </c:pt>
                <c:pt idx="2">
                  <c:v>3.1</c:v>
                </c:pt>
                <c:pt idx="3">
                  <c:v>2.2000000000000002</c:v>
                </c:pt>
                <c:pt idx="4">
                  <c:v>2.6</c:v>
                </c:pt>
                <c:pt idx="5">
                  <c:v>1.8000000000000003</c:v>
                </c:pt>
              </c:numCache>
            </c:numRef>
          </c:val>
          <c:smooth val="0"/>
          <c:extLst>
            <c:ext xmlns:c16="http://schemas.microsoft.com/office/drawing/2014/chart" uri="{C3380CC4-5D6E-409C-BE32-E72D297353CC}">
              <c16:uniqueId val="{00000006-18AD-4889-BEA6-54D8CEC4B57D}"/>
            </c:ext>
          </c:extLst>
        </c:ser>
        <c:ser>
          <c:idx val="7"/>
          <c:order val="7"/>
          <c:tx>
            <c:strRef>
              <c:f>'Makro analyse (historisk)'!$B$38</c:f>
              <c:strCache>
                <c:ptCount val="1"/>
                <c:pt idx="0">
                  <c:v>Health Care</c:v>
                </c:pt>
              </c:strCache>
            </c:strRef>
          </c:tx>
          <c:spPr>
            <a:ln w="31750" cap="rnd">
              <a:solidFill>
                <a:schemeClr val="accent2">
                  <a:lumMod val="60000"/>
                </a:schemeClr>
              </a:solidFill>
              <a:prstDash val="solid"/>
              <a:round/>
            </a:ln>
          </c:spPr>
          <c:marker>
            <c:symbol val="circle"/>
            <c:size val="17"/>
            <c:spPr>
              <a:solidFill>
                <a:schemeClr val="accent2">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(historisk)'!$C$38:$AJ$38</c:f>
              <c:numCache>
                <c:formatCode>0.0</c:formatCode>
                <c:ptCount val="6"/>
                <c:pt idx="0">
                  <c:v>2.2000000000000002</c:v>
                </c:pt>
                <c:pt idx="1">
                  <c:v>2</c:v>
                </c:pt>
                <c:pt idx="2">
                  <c:v>3.1</c:v>
                </c:pt>
                <c:pt idx="3">
                  <c:v>2.2000000000000002</c:v>
                </c:pt>
                <c:pt idx="4">
                  <c:v>2.9</c:v>
                </c:pt>
                <c:pt idx="5">
                  <c:v>1.8000000000000003</c:v>
                </c:pt>
              </c:numCache>
            </c:numRef>
          </c:val>
          <c:smooth val="0"/>
          <c:extLst>
            <c:ext xmlns:c16="http://schemas.microsoft.com/office/drawing/2014/chart" uri="{C3380CC4-5D6E-409C-BE32-E72D297353CC}">
              <c16:uniqueId val="{00000007-18AD-4889-BEA6-54D8CEC4B57D}"/>
            </c:ext>
          </c:extLst>
        </c:ser>
        <c:ser>
          <c:idx val="8"/>
          <c:order val="8"/>
          <c:tx>
            <c:strRef>
              <c:f>'Makro analyse (historisk)'!$B$39</c:f>
              <c:strCache>
                <c:ptCount val="1"/>
                <c:pt idx="0">
                  <c:v>Energy</c:v>
                </c:pt>
              </c:strCache>
            </c:strRef>
          </c:tx>
          <c:spPr>
            <a:ln w="31750" cap="rnd">
              <a:solidFill>
                <a:schemeClr val="accent3">
                  <a:lumMod val="60000"/>
                </a:schemeClr>
              </a:solidFill>
              <a:prstDash val="solid"/>
              <a:round/>
            </a:ln>
          </c:spPr>
          <c:marker>
            <c:symbol val="circle"/>
            <c:size val="17"/>
            <c:spPr>
              <a:solidFill>
                <a:schemeClr val="accent3">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(historisk)'!$C$39:$AJ$39</c:f>
              <c:numCache>
                <c:formatCode>0.0</c:formatCode>
                <c:ptCount val="6"/>
                <c:pt idx="0">
                  <c:v>2.2000000000000002</c:v>
                </c:pt>
                <c:pt idx="1">
                  <c:v>2</c:v>
                </c:pt>
                <c:pt idx="2">
                  <c:v>2.2999999999999998</c:v>
                </c:pt>
                <c:pt idx="3">
                  <c:v>2.2000000000000002</c:v>
                </c:pt>
                <c:pt idx="4">
                  <c:v>2.1</c:v>
                </c:pt>
                <c:pt idx="5">
                  <c:v>1.8000000000000003</c:v>
                </c:pt>
              </c:numCache>
            </c:numRef>
          </c:val>
          <c:smooth val="0"/>
          <c:extLst>
            <c:ext xmlns:c16="http://schemas.microsoft.com/office/drawing/2014/chart" uri="{C3380CC4-5D6E-409C-BE32-E72D297353CC}">
              <c16:uniqueId val="{00000008-18AD-4889-BEA6-54D8CEC4B57D}"/>
            </c:ext>
          </c:extLst>
        </c:ser>
        <c:ser>
          <c:idx val="9"/>
          <c:order val="9"/>
          <c:tx>
            <c:strRef>
              <c:f>'Makro analyse (historisk)'!$B$40</c:f>
              <c:strCache>
                <c:ptCount val="1"/>
                <c:pt idx="0">
                  <c:v>Communications Services</c:v>
                </c:pt>
              </c:strCache>
            </c:strRef>
          </c:tx>
          <c:spPr>
            <a:ln w="31750" cap="rnd">
              <a:solidFill>
                <a:schemeClr val="accent4">
                  <a:lumMod val="60000"/>
                </a:schemeClr>
              </a:solidFill>
              <a:prstDash val="solid"/>
              <a:round/>
            </a:ln>
          </c:spPr>
          <c:marker>
            <c:symbol val="circle"/>
            <c:size val="17"/>
            <c:spPr>
              <a:solidFill>
                <a:schemeClr val="accent4">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(historisk)'!$C$40:$AJ$40</c:f>
              <c:numCache>
                <c:formatCode>0.0</c:formatCode>
                <c:ptCount val="6"/>
                <c:pt idx="0">
                  <c:v>3</c:v>
                </c:pt>
                <c:pt idx="1">
                  <c:v>3.1999999999999997</c:v>
                </c:pt>
                <c:pt idx="2">
                  <c:v>2.7</c:v>
                </c:pt>
                <c:pt idx="3">
                  <c:v>3.1999999999999997</c:v>
                </c:pt>
                <c:pt idx="4">
                  <c:v>3.1</c:v>
                </c:pt>
                <c:pt idx="5">
                  <c:v>3</c:v>
                </c:pt>
              </c:numCache>
            </c:numRef>
          </c:val>
          <c:smooth val="0"/>
          <c:extLst>
            <c:ext xmlns:c16="http://schemas.microsoft.com/office/drawing/2014/chart" uri="{C3380CC4-5D6E-409C-BE32-E72D297353CC}">
              <c16:uniqueId val="{00000009-18AD-4889-BEA6-54D8CEC4B57D}"/>
            </c:ext>
          </c:extLst>
        </c:ser>
        <c:ser>
          <c:idx val="10"/>
          <c:order val="10"/>
          <c:tx>
            <c:strRef>
              <c:f>'Makro analyse (historisk)'!$B$41</c:f>
              <c:strCache>
                <c:ptCount val="1"/>
                <c:pt idx="0">
                  <c:v>Utilities</c:v>
                </c:pt>
              </c:strCache>
            </c:strRef>
          </c:tx>
          <c:spPr>
            <a:ln w="31750" cap="rnd">
              <a:solidFill>
                <a:schemeClr val="accent5">
                  <a:lumMod val="60000"/>
                </a:schemeClr>
              </a:solidFill>
              <a:prstDash val="solid"/>
              <a:round/>
            </a:ln>
          </c:spPr>
          <c:marker>
            <c:symbol val="circle"/>
            <c:size val="17"/>
            <c:spPr>
              <a:solidFill>
                <a:schemeClr val="accent5">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(historisk)'!$C$41:$AJ$41</c:f>
              <c:numCache>
                <c:formatCode>0.0</c:formatCode>
                <c:ptCount val="6"/>
                <c:pt idx="0">
                  <c:v>2.2000000000000002</c:v>
                </c:pt>
                <c:pt idx="1">
                  <c:v>1.8000000000000003</c:v>
                </c:pt>
                <c:pt idx="2">
                  <c:v>3.3</c:v>
                </c:pt>
                <c:pt idx="3">
                  <c:v>2</c:v>
                </c:pt>
                <c:pt idx="4">
                  <c:v>2.6</c:v>
                </c:pt>
                <c:pt idx="5">
                  <c:v>1.8000000000000003</c:v>
                </c:pt>
              </c:numCache>
            </c:numRef>
          </c:val>
          <c:smooth val="0"/>
          <c:extLst>
            <c:ext xmlns:c16="http://schemas.microsoft.com/office/drawing/2014/chart" uri="{C3380CC4-5D6E-409C-BE32-E72D297353CC}">
              <c16:uniqueId val="{0000000A-18AD-4889-BEA6-54D8CEC4B57D}"/>
            </c:ext>
          </c:extLst>
        </c:ser>
        <c:dLbls>
          <c:dLblPos val="ctr"/>
          <c:showLegendKey val="0"/>
          <c:showVal val="1"/>
          <c:showCatName val="0"/>
          <c:showSerName val="0"/>
          <c:showPercent val="0"/>
          <c:showBubbleSize val="0"/>
        </c:dLbls>
        <c:marker val="1"/>
        <c:smooth val="0"/>
        <c:axId val="1469743952"/>
        <c:axId val="1469744432"/>
      </c:lineChart>
      <c:catAx>
        <c:axId val="1469743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1469744432"/>
        <c:crosses val="autoZero"/>
        <c:auto val="1"/>
        <c:lblAlgn val="ctr"/>
        <c:lblOffset val="100"/>
        <c:noMultiLvlLbl val="0"/>
      </c:catAx>
      <c:valAx>
        <c:axId val="1469744432"/>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1469743952"/>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da-DK"/>
              <a:t>Fremtid MarketScore DK</a:t>
            </a:r>
          </a:p>
        </c:rich>
      </c:tx>
      <c:overlay val="0"/>
      <c:spPr>
        <a:noFill/>
        <a:ln>
          <a:noFill/>
          <a:prstDash val="solid"/>
        </a:ln>
      </c:spPr>
    </c:title>
    <c:autoTitleDeleted val="0"/>
    <c:plotArea>
      <c:layout/>
      <c:lineChart>
        <c:grouping val="standard"/>
        <c:varyColors val="0"/>
        <c:ser>
          <c:idx val="0"/>
          <c:order val="0"/>
          <c:tx>
            <c:strRef>
              <c:f>'Makro analyse (historisk)'!$AO$29</c:f>
              <c:strCache>
                <c:ptCount val="1"/>
                <c:pt idx="0">
                  <c:v>Q3 2025</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(historisk)'!$AO$31:$AO$41</c:f>
              <c:numCache>
                <c:formatCode>0.0</c:formatCode>
                <c:ptCount val="11"/>
                <c:pt idx="0">
                  <c:v>3.6947999999999999</c:v>
                </c:pt>
                <c:pt idx="1">
                  <c:v>2.7226999999999997</c:v>
                </c:pt>
                <c:pt idx="2">
                  <c:v>3.9171</c:v>
                </c:pt>
                <c:pt idx="3">
                  <c:v>4.4725999999999999</c:v>
                </c:pt>
                <c:pt idx="4">
                  <c:v>3.9171</c:v>
                </c:pt>
                <c:pt idx="5">
                  <c:v>2.5003999999999995</c:v>
                </c:pt>
                <c:pt idx="6">
                  <c:v>2.3058000000000001</c:v>
                </c:pt>
                <c:pt idx="7">
                  <c:v>2.778</c:v>
                </c:pt>
                <c:pt idx="8">
                  <c:v>2.8892000000000002</c:v>
                </c:pt>
                <c:pt idx="9">
                  <c:v>3.7224999999999993</c:v>
                </c:pt>
                <c:pt idx="10">
                  <c:v>2.1113999999999997</c:v>
                </c:pt>
              </c:numCache>
            </c:numRef>
          </c:val>
          <c:smooth val="0"/>
          <c:extLst>
            <c:ext xmlns:c16="http://schemas.microsoft.com/office/drawing/2014/chart" uri="{C3380CC4-5D6E-409C-BE32-E72D297353CC}">
              <c16:uniqueId val="{00000000-709E-49BA-A581-6BEE87CDC9FD}"/>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analyse'!$L$31:$L$41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709E-49BA-A581-6BEE87CDC9FD}"/>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analyse'!$M$31:$M$41</c:f>
              <c:numCache>
                <c:formatCode>General</c:formatCode>
                <c:ptCount val="11"/>
                <c:pt idx="0">
                  <c:v>3</c:v>
                </c:pt>
                <c:pt idx="1">
                  <c:v>4</c:v>
                </c:pt>
                <c:pt idx="2">
                  <c:v>1</c:v>
                </c:pt>
                <c:pt idx="3">
                  <c:v>2</c:v>
                </c:pt>
                <c:pt idx="4">
                  <c:v>3</c:v>
                </c:pt>
                <c:pt idx="5">
                  <c:v>4</c:v>
                </c:pt>
                <c:pt idx="6">
                  <c:v>3</c:v>
                </c:pt>
                <c:pt idx="7">
                  <c:v>3</c:v>
                </c:pt>
                <c:pt idx="8">
                  <c:v>5</c:v>
                </c:pt>
                <c:pt idx="9">
                  <c:v>3</c:v>
                </c:pt>
                <c:pt idx="10">
                  <c:v>4</c:v>
                </c:pt>
              </c:numCache>
            </c:numRef>
          </c:val>
          <c:smooth val="0"/>
          <c:extLst>
            <c:ext xmlns:c16="http://schemas.microsoft.com/office/drawing/2014/chart" uri="{C3380CC4-5D6E-409C-BE32-E72D297353CC}">
              <c16:uniqueId val="{00000002-709E-49BA-A581-6BEE87CDC9FD}"/>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analyse'!$N$31:$N$41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3-709E-49BA-A581-6BEE87CDC9FD}"/>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analyse'!$O$31:$O$41</c:f>
              <c:numCache>
                <c:formatCode>General</c:formatCode>
                <c:ptCount val="11"/>
                <c:pt idx="0">
                  <c:v>4</c:v>
                </c:pt>
                <c:pt idx="1">
                  <c:v>5</c:v>
                </c:pt>
                <c:pt idx="2">
                  <c:v>5</c:v>
                </c:pt>
                <c:pt idx="3">
                  <c:v>4</c:v>
                </c:pt>
                <c:pt idx="4">
                  <c:v>5</c:v>
                </c:pt>
                <c:pt idx="5">
                  <c:v>4</c:v>
                </c:pt>
                <c:pt idx="6">
                  <c:v>2</c:v>
                </c:pt>
                <c:pt idx="7">
                  <c:v>2</c:v>
                </c:pt>
                <c:pt idx="8">
                  <c:v>2</c:v>
                </c:pt>
                <c:pt idx="9">
                  <c:v>3</c:v>
                </c:pt>
                <c:pt idx="10">
                  <c:v>2</c:v>
                </c:pt>
              </c:numCache>
            </c:numRef>
          </c:val>
          <c:smooth val="0"/>
          <c:extLst>
            <c:ext xmlns:c16="http://schemas.microsoft.com/office/drawing/2014/chart" uri="{C3380CC4-5D6E-409C-BE32-E72D297353CC}">
              <c16:uniqueId val="{00000004-709E-49BA-A581-6BEE87CDC9FD}"/>
            </c:ext>
          </c:extLst>
        </c:ser>
        <c:ser>
          <c:idx val="5"/>
          <c:order val="5"/>
          <c:tx>
            <c:strRef>
              <c:f>'Makro analyse (historisk)'!$AX$29</c:f>
              <c:strCache>
                <c:ptCount val="1"/>
                <c:pt idx="0">
                  <c:v>Q4 2025</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(historisk)'!$B$31:$B$41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(historisk)'!$AX$31:$AX$41</c:f>
              <c:numCache>
                <c:formatCode>0.0</c:formatCode>
                <c:ptCount val="11"/>
                <c:pt idx="0">
                  <c:v>3.6391999999999998</c:v>
                </c:pt>
                <c:pt idx="1">
                  <c:v>3.2502</c:v>
                </c:pt>
                <c:pt idx="2">
                  <c:v>3.556</c:v>
                </c:pt>
                <c:pt idx="3">
                  <c:v>3.8893</c:v>
                </c:pt>
                <c:pt idx="4">
                  <c:v>3.9447999999999999</c:v>
                </c:pt>
                <c:pt idx="5">
                  <c:v>3.0002</c:v>
                </c:pt>
                <c:pt idx="6">
                  <c:v>2.3614000000000002</c:v>
                </c:pt>
                <c:pt idx="7">
                  <c:v>2.8058999999999998</c:v>
                </c:pt>
                <c:pt idx="8">
                  <c:v>2.9723000000000002</c:v>
                </c:pt>
                <c:pt idx="9">
                  <c:v>3.3891999999999998</c:v>
                </c:pt>
                <c:pt idx="10">
                  <c:v>2.5558000000000001</c:v>
                </c:pt>
              </c:numCache>
            </c:numRef>
          </c:val>
          <c:smooth val="0"/>
          <c:extLst>
            <c:ext xmlns:c16="http://schemas.microsoft.com/office/drawing/2014/chart" uri="{C3380CC4-5D6E-409C-BE32-E72D297353CC}">
              <c16:uniqueId val="{00000005-709E-49BA-A581-6BEE87CDC9FD}"/>
            </c:ext>
          </c:extLst>
        </c:ser>
        <c:dLbls>
          <c:dLblPos val="ctr"/>
          <c:showLegendKey val="0"/>
          <c:showVal val="1"/>
          <c:showCatName val="0"/>
          <c:showSerName val="0"/>
          <c:showPercent val="0"/>
          <c:showBubbleSize val="0"/>
        </c:dLbls>
        <c:marker val="1"/>
        <c:smooth val="0"/>
        <c:axId val="567859359"/>
        <c:axId val="567866559"/>
      </c:lineChart>
      <c:catAx>
        <c:axId val="5678593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567866559"/>
        <c:crosses val="autoZero"/>
        <c:auto val="1"/>
        <c:lblAlgn val="ctr"/>
        <c:lblOffset val="100"/>
        <c:noMultiLvlLbl val="0"/>
      </c:catAx>
      <c:valAx>
        <c:axId val="567866559"/>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567859359"/>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Makro Score EU</a:t>
            </a:r>
          </a:p>
        </c:rich>
      </c:tx>
      <c:overlay val="0"/>
      <c:spPr>
        <a:noFill/>
        <a:ln>
          <a:noFill/>
          <a:prstDash val="solid"/>
        </a:ln>
      </c:spPr>
    </c:title>
    <c:autoTitleDeleted val="0"/>
    <c:plotArea>
      <c:layout/>
      <c:lineChart>
        <c:grouping val="standard"/>
        <c:varyColors val="0"/>
        <c:ser>
          <c:idx val="0"/>
          <c:order val="0"/>
          <c:tx>
            <c:strRef>
              <c:f>'Makro analyse (historisk)'!$B$71</c:f>
              <c:strCache>
                <c:ptCount val="1"/>
                <c:pt idx="0">
                  <c:v>Financials</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(historisk)'!$C$71:$AF$71</c:f>
              <c:numCache>
                <c:formatCode>0.0</c:formatCode>
                <c:ptCount val="6"/>
                <c:pt idx="0">
                  <c:v>3.8</c:v>
                </c:pt>
                <c:pt idx="1">
                  <c:v>3.8</c:v>
                </c:pt>
                <c:pt idx="2">
                  <c:v>3.8</c:v>
                </c:pt>
                <c:pt idx="3">
                  <c:v>3.8</c:v>
                </c:pt>
                <c:pt idx="4">
                  <c:v>3.8</c:v>
                </c:pt>
                <c:pt idx="5">
                  <c:v>3.8</c:v>
                </c:pt>
              </c:numCache>
            </c:numRef>
          </c:val>
          <c:smooth val="0"/>
          <c:extLst>
            <c:ext xmlns:c16="http://schemas.microsoft.com/office/drawing/2014/chart" uri="{C3380CC4-5D6E-409C-BE32-E72D297353CC}">
              <c16:uniqueId val="{00000000-2197-4879-8626-486D449319E7}"/>
            </c:ext>
          </c:extLst>
        </c:ser>
        <c:ser>
          <c:idx val="1"/>
          <c:order val="1"/>
          <c:tx>
            <c:strRef>
              <c:f>'Makro analyse (historisk)'!$B$72</c:f>
              <c:strCache>
                <c:ptCount val="1"/>
                <c:pt idx="0">
                  <c:v>Real Estate</c:v>
                </c:pt>
              </c:strCache>
            </c:strRef>
          </c:tx>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(historisk)'!$C$72:$AF$72</c:f>
              <c:numCache>
                <c:formatCode>0.0</c:formatCode>
                <c:ptCount val="6"/>
                <c:pt idx="0">
                  <c:v>3.9</c:v>
                </c:pt>
                <c:pt idx="1">
                  <c:v>4.0999999999999996</c:v>
                </c:pt>
                <c:pt idx="2">
                  <c:v>4.0999999999999996</c:v>
                </c:pt>
                <c:pt idx="3">
                  <c:v>4.0999999999999996</c:v>
                </c:pt>
                <c:pt idx="4">
                  <c:v>2.9</c:v>
                </c:pt>
                <c:pt idx="5">
                  <c:v>2.4</c:v>
                </c:pt>
              </c:numCache>
            </c:numRef>
          </c:val>
          <c:smooth val="0"/>
          <c:extLst>
            <c:ext xmlns:c16="http://schemas.microsoft.com/office/drawing/2014/chart" uri="{C3380CC4-5D6E-409C-BE32-E72D297353CC}">
              <c16:uniqueId val="{00000001-2197-4879-8626-486D449319E7}"/>
            </c:ext>
          </c:extLst>
        </c:ser>
        <c:ser>
          <c:idx val="2"/>
          <c:order val="2"/>
          <c:tx>
            <c:strRef>
              <c:f>'Makro analyse (historisk)'!$B$73</c:f>
              <c:strCache>
                <c:ptCount val="1"/>
                <c:pt idx="0">
                  <c:v>Consumer Discretionary</c:v>
                </c:pt>
              </c:strCache>
            </c:strRef>
          </c:tx>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(historisk)'!$C$73:$AF$73</c:f>
              <c:numCache>
                <c:formatCode>0.0</c:formatCode>
                <c:ptCount val="6"/>
                <c:pt idx="0">
                  <c:v>3.9000000000000004</c:v>
                </c:pt>
                <c:pt idx="1">
                  <c:v>4.7</c:v>
                </c:pt>
                <c:pt idx="2">
                  <c:v>4.7</c:v>
                </c:pt>
                <c:pt idx="3">
                  <c:v>4.7</c:v>
                </c:pt>
                <c:pt idx="4">
                  <c:v>4.0999999999999996</c:v>
                </c:pt>
                <c:pt idx="5">
                  <c:v>3.4000000000000004</c:v>
                </c:pt>
              </c:numCache>
            </c:numRef>
          </c:val>
          <c:smooth val="0"/>
          <c:extLst>
            <c:ext xmlns:c16="http://schemas.microsoft.com/office/drawing/2014/chart" uri="{C3380CC4-5D6E-409C-BE32-E72D297353CC}">
              <c16:uniqueId val="{00000002-2197-4879-8626-486D449319E7}"/>
            </c:ext>
          </c:extLst>
        </c:ser>
        <c:ser>
          <c:idx val="3"/>
          <c:order val="3"/>
          <c:tx>
            <c:strRef>
              <c:f>'Makro analyse (historisk)'!$B$74</c:f>
              <c:strCache>
                <c:ptCount val="1"/>
                <c:pt idx="0">
                  <c:v>Information Technology</c:v>
                </c:pt>
              </c:strCache>
            </c:strRef>
          </c:tx>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(historisk)'!$C$74:$AF$74</c:f>
              <c:numCache>
                <c:formatCode>0.0</c:formatCode>
                <c:ptCount val="6"/>
                <c:pt idx="0">
                  <c:v>3.9000000000000004</c:v>
                </c:pt>
                <c:pt idx="1">
                  <c:v>4.3</c:v>
                </c:pt>
                <c:pt idx="2">
                  <c:v>4.3</c:v>
                </c:pt>
                <c:pt idx="3">
                  <c:v>4.3</c:v>
                </c:pt>
                <c:pt idx="4">
                  <c:v>4.5</c:v>
                </c:pt>
                <c:pt idx="5">
                  <c:v>4.4000000000000004</c:v>
                </c:pt>
              </c:numCache>
            </c:numRef>
          </c:val>
          <c:smooth val="0"/>
          <c:extLst>
            <c:ext xmlns:c16="http://schemas.microsoft.com/office/drawing/2014/chart" uri="{C3380CC4-5D6E-409C-BE32-E72D297353CC}">
              <c16:uniqueId val="{00000003-2197-4879-8626-486D449319E7}"/>
            </c:ext>
          </c:extLst>
        </c:ser>
        <c:ser>
          <c:idx val="4"/>
          <c:order val="4"/>
          <c:tx>
            <c:strRef>
              <c:f>'Makro analyse (historisk)'!$B$75</c:f>
              <c:strCache>
                <c:ptCount val="1"/>
                <c:pt idx="0">
                  <c:v>Industrials</c:v>
                </c:pt>
              </c:strCache>
            </c:strRef>
          </c:tx>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(historisk)'!$C$75:$AF$75</c:f>
              <c:numCache>
                <c:formatCode>0.0</c:formatCode>
                <c:ptCount val="6"/>
                <c:pt idx="0">
                  <c:v>4.3</c:v>
                </c:pt>
                <c:pt idx="1">
                  <c:v>4.7</c:v>
                </c:pt>
                <c:pt idx="2">
                  <c:v>4.7</c:v>
                </c:pt>
                <c:pt idx="3">
                  <c:v>4.7</c:v>
                </c:pt>
                <c:pt idx="4">
                  <c:v>4.0999999999999996</c:v>
                </c:pt>
                <c:pt idx="5">
                  <c:v>3.8</c:v>
                </c:pt>
              </c:numCache>
            </c:numRef>
          </c:val>
          <c:smooth val="0"/>
          <c:extLst>
            <c:ext xmlns:c16="http://schemas.microsoft.com/office/drawing/2014/chart" uri="{C3380CC4-5D6E-409C-BE32-E72D297353CC}">
              <c16:uniqueId val="{00000004-2197-4879-8626-486D449319E7}"/>
            </c:ext>
          </c:extLst>
        </c:ser>
        <c:ser>
          <c:idx val="5"/>
          <c:order val="5"/>
          <c:tx>
            <c:strRef>
              <c:f>'Makro analyse (historisk)'!$B$76</c:f>
              <c:strCache>
                <c:ptCount val="1"/>
                <c:pt idx="0">
                  <c:v>Materials</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(historisk)'!$C$76:$AF$76</c:f>
              <c:numCache>
                <c:formatCode>0.0</c:formatCode>
                <c:ptCount val="6"/>
                <c:pt idx="0">
                  <c:v>3.2</c:v>
                </c:pt>
                <c:pt idx="1">
                  <c:v>3.4</c:v>
                </c:pt>
                <c:pt idx="2">
                  <c:v>3.4</c:v>
                </c:pt>
                <c:pt idx="3">
                  <c:v>3.4</c:v>
                </c:pt>
                <c:pt idx="4">
                  <c:v>2.4000000000000004</c:v>
                </c:pt>
                <c:pt idx="5">
                  <c:v>2.2000000000000002</c:v>
                </c:pt>
              </c:numCache>
            </c:numRef>
          </c:val>
          <c:smooth val="0"/>
          <c:extLst>
            <c:ext xmlns:c16="http://schemas.microsoft.com/office/drawing/2014/chart" uri="{C3380CC4-5D6E-409C-BE32-E72D297353CC}">
              <c16:uniqueId val="{00000005-2197-4879-8626-486D449319E7}"/>
            </c:ext>
          </c:extLst>
        </c:ser>
        <c:ser>
          <c:idx val="6"/>
          <c:order val="6"/>
          <c:tx>
            <c:strRef>
              <c:f>'Makro analyse (historisk)'!$B$77</c:f>
              <c:strCache>
                <c:ptCount val="1"/>
                <c:pt idx="0">
                  <c:v>Consumer Staples</c:v>
                </c:pt>
              </c:strCache>
            </c:strRef>
          </c:tx>
          <c:spPr>
            <a:ln w="31750" cap="rnd">
              <a:solidFill>
                <a:schemeClr val="accent1">
                  <a:lumMod val="60000"/>
                </a:schemeClr>
              </a:solidFill>
              <a:prstDash val="solid"/>
              <a:round/>
            </a:ln>
          </c:spPr>
          <c:marker>
            <c:symbol val="circle"/>
            <c:size val="17"/>
            <c:spPr>
              <a:solidFill>
                <a:schemeClr val="accent1">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(historisk)'!$C$77:$AF$77</c:f>
              <c:numCache>
                <c:formatCode>0.0</c:formatCode>
                <c:ptCount val="6"/>
                <c:pt idx="0">
                  <c:v>2.4</c:v>
                </c:pt>
                <c:pt idx="1">
                  <c:v>2.2000000000000002</c:v>
                </c:pt>
                <c:pt idx="2">
                  <c:v>2.2000000000000002</c:v>
                </c:pt>
                <c:pt idx="3">
                  <c:v>2.2000000000000002</c:v>
                </c:pt>
                <c:pt idx="4">
                  <c:v>2</c:v>
                </c:pt>
                <c:pt idx="5">
                  <c:v>2.4</c:v>
                </c:pt>
              </c:numCache>
            </c:numRef>
          </c:val>
          <c:smooth val="0"/>
          <c:extLst>
            <c:ext xmlns:c16="http://schemas.microsoft.com/office/drawing/2014/chart" uri="{C3380CC4-5D6E-409C-BE32-E72D297353CC}">
              <c16:uniqueId val="{00000006-2197-4879-8626-486D449319E7}"/>
            </c:ext>
          </c:extLst>
        </c:ser>
        <c:ser>
          <c:idx val="7"/>
          <c:order val="7"/>
          <c:tx>
            <c:strRef>
              <c:f>'Makro analyse (historisk)'!$B$78</c:f>
              <c:strCache>
                <c:ptCount val="1"/>
                <c:pt idx="0">
                  <c:v>Health Care</c:v>
                </c:pt>
              </c:strCache>
            </c:strRef>
          </c:tx>
          <c:spPr>
            <a:ln w="31750" cap="rnd">
              <a:solidFill>
                <a:schemeClr val="accent2">
                  <a:lumMod val="60000"/>
                </a:schemeClr>
              </a:solidFill>
              <a:prstDash val="solid"/>
              <a:round/>
            </a:ln>
          </c:spPr>
          <c:marker>
            <c:symbol val="circle"/>
            <c:size val="17"/>
            <c:spPr>
              <a:solidFill>
                <a:schemeClr val="accent2">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(historisk)'!$C$78:$AF$78</c:f>
              <c:numCache>
                <c:formatCode>0.0</c:formatCode>
                <c:ptCount val="6"/>
                <c:pt idx="0">
                  <c:v>2.5</c:v>
                </c:pt>
                <c:pt idx="1">
                  <c:v>2.1</c:v>
                </c:pt>
                <c:pt idx="2">
                  <c:v>2.1</c:v>
                </c:pt>
                <c:pt idx="3">
                  <c:v>2.1</c:v>
                </c:pt>
                <c:pt idx="4">
                  <c:v>2.7</c:v>
                </c:pt>
                <c:pt idx="5">
                  <c:v>3</c:v>
                </c:pt>
              </c:numCache>
            </c:numRef>
          </c:val>
          <c:smooth val="0"/>
          <c:extLst>
            <c:ext xmlns:c16="http://schemas.microsoft.com/office/drawing/2014/chart" uri="{C3380CC4-5D6E-409C-BE32-E72D297353CC}">
              <c16:uniqueId val="{00000007-2197-4879-8626-486D449319E7}"/>
            </c:ext>
          </c:extLst>
        </c:ser>
        <c:ser>
          <c:idx val="8"/>
          <c:order val="8"/>
          <c:tx>
            <c:strRef>
              <c:f>'Makro analyse (historisk)'!$B$79</c:f>
              <c:strCache>
                <c:ptCount val="1"/>
                <c:pt idx="0">
                  <c:v>Energy</c:v>
                </c:pt>
              </c:strCache>
            </c:strRef>
          </c:tx>
          <c:spPr>
            <a:ln w="31750" cap="rnd">
              <a:solidFill>
                <a:schemeClr val="accent3">
                  <a:lumMod val="60000"/>
                </a:schemeClr>
              </a:solidFill>
              <a:prstDash val="solid"/>
              <a:round/>
            </a:ln>
          </c:spPr>
          <c:marker>
            <c:symbol val="circle"/>
            <c:size val="17"/>
            <c:spPr>
              <a:solidFill>
                <a:schemeClr val="accent3">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(historisk)'!$C$79:$AF$79</c:f>
              <c:numCache>
                <c:formatCode>0.0</c:formatCode>
                <c:ptCount val="6"/>
                <c:pt idx="0">
                  <c:v>2.9</c:v>
                </c:pt>
                <c:pt idx="1">
                  <c:v>2.1</c:v>
                </c:pt>
                <c:pt idx="2">
                  <c:v>2.1</c:v>
                </c:pt>
                <c:pt idx="3">
                  <c:v>2.1</c:v>
                </c:pt>
                <c:pt idx="4">
                  <c:v>2.7</c:v>
                </c:pt>
                <c:pt idx="5">
                  <c:v>3.4</c:v>
                </c:pt>
              </c:numCache>
            </c:numRef>
          </c:val>
          <c:smooth val="0"/>
          <c:extLst>
            <c:ext xmlns:c16="http://schemas.microsoft.com/office/drawing/2014/chart" uri="{C3380CC4-5D6E-409C-BE32-E72D297353CC}">
              <c16:uniqueId val="{00000008-2197-4879-8626-486D449319E7}"/>
            </c:ext>
          </c:extLst>
        </c:ser>
        <c:ser>
          <c:idx val="9"/>
          <c:order val="9"/>
          <c:tx>
            <c:strRef>
              <c:f>'Makro analyse (historisk)'!$B$80</c:f>
              <c:strCache>
                <c:ptCount val="1"/>
                <c:pt idx="0">
                  <c:v>Communications Services</c:v>
                </c:pt>
              </c:strCache>
            </c:strRef>
          </c:tx>
          <c:spPr>
            <a:ln w="31750" cap="rnd">
              <a:solidFill>
                <a:schemeClr val="accent4">
                  <a:lumMod val="60000"/>
                </a:schemeClr>
              </a:solidFill>
              <a:prstDash val="solid"/>
              <a:round/>
            </a:ln>
          </c:spPr>
          <c:marker>
            <c:symbol val="circle"/>
            <c:size val="17"/>
            <c:spPr>
              <a:solidFill>
                <a:schemeClr val="accent4">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(historisk)'!$C$80:$AF$80</c:f>
              <c:numCache>
                <c:formatCode>0.0</c:formatCode>
                <c:ptCount val="6"/>
                <c:pt idx="0">
                  <c:v>3.3</c:v>
                </c:pt>
                <c:pt idx="1">
                  <c:v>3.3</c:v>
                </c:pt>
                <c:pt idx="2">
                  <c:v>3.3</c:v>
                </c:pt>
                <c:pt idx="3">
                  <c:v>3.3</c:v>
                </c:pt>
                <c:pt idx="4">
                  <c:v>3.6999999999999997</c:v>
                </c:pt>
                <c:pt idx="5">
                  <c:v>3.8</c:v>
                </c:pt>
              </c:numCache>
            </c:numRef>
          </c:val>
          <c:smooth val="0"/>
          <c:extLst>
            <c:ext xmlns:c16="http://schemas.microsoft.com/office/drawing/2014/chart" uri="{C3380CC4-5D6E-409C-BE32-E72D297353CC}">
              <c16:uniqueId val="{00000009-2197-4879-8626-486D449319E7}"/>
            </c:ext>
          </c:extLst>
        </c:ser>
        <c:ser>
          <c:idx val="10"/>
          <c:order val="10"/>
          <c:tx>
            <c:strRef>
              <c:f>'Makro analyse (historisk)'!$B$81</c:f>
              <c:strCache>
                <c:ptCount val="1"/>
                <c:pt idx="0">
                  <c:v>Utilities</c:v>
                </c:pt>
              </c:strCache>
            </c:strRef>
          </c:tx>
          <c:spPr>
            <a:ln w="31750" cap="rnd">
              <a:solidFill>
                <a:schemeClr val="accent5">
                  <a:lumMod val="60000"/>
                </a:schemeClr>
              </a:solidFill>
              <a:prstDash val="solid"/>
              <a:round/>
            </a:ln>
          </c:spPr>
          <c:marker>
            <c:symbol val="circle"/>
            <c:size val="17"/>
            <c:spPr>
              <a:solidFill>
                <a:schemeClr val="accent5">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(historisk)'!$C$81:$AF$81</c:f>
              <c:numCache>
                <c:formatCode>0.0</c:formatCode>
                <c:ptCount val="6"/>
                <c:pt idx="0">
                  <c:v>2.4</c:v>
                </c:pt>
                <c:pt idx="1">
                  <c:v>1.8000000000000003</c:v>
                </c:pt>
                <c:pt idx="2">
                  <c:v>1.8000000000000003</c:v>
                </c:pt>
                <c:pt idx="3">
                  <c:v>1.8000000000000003</c:v>
                </c:pt>
                <c:pt idx="4">
                  <c:v>2</c:v>
                </c:pt>
                <c:pt idx="5">
                  <c:v>2.4</c:v>
                </c:pt>
              </c:numCache>
            </c:numRef>
          </c:val>
          <c:smooth val="0"/>
          <c:extLst>
            <c:ext xmlns:c16="http://schemas.microsoft.com/office/drawing/2014/chart" uri="{C3380CC4-5D6E-409C-BE32-E72D297353CC}">
              <c16:uniqueId val="{0000000A-2197-4879-8626-486D449319E7}"/>
            </c:ext>
          </c:extLst>
        </c:ser>
        <c:dLbls>
          <c:dLblPos val="ctr"/>
          <c:showLegendKey val="0"/>
          <c:showVal val="1"/>
          <c:showCatName val="0"/>
          <c:showSerName val="0"/>
          <c:showPercent val="0"/>
          <c:showBubbleSize val="0"/>
        </c:dLbls>
        <c:marker val="1"/>
        <c:smooth val="0"/>
        <c:axId val="599758847"/>
        <c:axId val="599770367"/>
      </c:lineChart>
      <c:catAx>
        <c:axId val="599758847"/>
        <c:scaling>
          <c:orientation val="minMax"/>
        </c:scaling>
        <c:delete val="0"/>
        <c:axPos val="b"/>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599770367"/>
        <c:crosses val="autoZero"/>
        <c:auto val="1"/>
        <c:lblAlgn val="ctr"/>
        <c:lblOffset val="100"/>
        <c:noMultiLvlLbl val="0"/>
      </c:catAx>
      <c:valAx>
        <c:axId val="599770367"/>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599758847"/>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Fremtid MarketScore EU</a:t>
            </a:r>
          </a:p>
        </c:rich>
      </c:tx>
      <c:overlay val="0"/>
      <c:spPr>
        <a:noFill/>
        <a:ln>
          <a:noFill/>
          <a:prstDash val="solid"/>
        </a:ln>
      </c:spPr>
    </c:title>
    <c:autoTitleDeleted val="0"/>
    <c:plotArea>
      <c:layout/>
      <c:lineChart>
        <c:grouping val="standard"/>
        <c:varyColors val="0"/>
        <c:ser>
          <c:idx val="0"/>
          <c:order val="0"/>
          <c:tx>
            <c:strRef>
              <c:f>'Makro analyse (historisk)'!$AO$69</c:f>
              <c:strCache>
                <c:ptCount val="1"/>
                <c:pt idx="0">
                  <c:v>Q3 2025</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(historisk)'!$AO$71:$AO$81</c:f>
              <c:numCache>
                <c:formatCode>0.0</c:formatCode>
                <c:ptCount val="11"/>
                <c:pt idx="0">
                  <c:v>3.4725999999999999</c:v>
                </c:pt>
                <c:pt idx="1">
                  <c:v>3.0836999999999994</c:v>
                </c:pt>
                <c:pt idx="2">
                  <c:v>3.9726000000000004</c:v>
                </c:pt>
                <c:pt idx="3">
                  <c:v>4.3615000000000004</c:v>
                </c:pt>
                <c:pt idx="4">
                  <c:v>3.9726000000000004</c:v>
                </c:pt>
                <c:pt idx="5">
                  <c:v>2.7780999999999998</c:v>
                </c:pt>
                <c:pt idx="6">
                  <c:v>2.528</c:v>
                </c:pt>
                <c:pt idx="7">
                  <c:v>2.5002999999999997</c:v>
                </c:pt>
                <c:pt idx="8">
                  <c:v>2.8336999999999999</c:v>
                </c:pt>
                <c:pt idx="9">
                  <c:v>3.5280999999999993</c:v>
                </c:pt>
                <c:pt idx="10">
                  <c:v>2.1391999999999998</c:v>
                </c:pt>
              </c:numCache>
            </c:numRef>
          </c:val>
          <c:smooth val="0"/>
          <c:extLst>
            <c:ext xmlns:c16="http://schemas.microsoft.com/office/drawing/2014/chart" uri="{C3380CC4-5D6E-409C-BE32-E72D297353CC}">
              <c16:uniqueId val="{00000000-6C76-4C2F-8CF4-ED753EA682E0}"/>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analyse'!$L$71:$L$81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6C76-4C2F-8CF4-ED753EA682E0}"/>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analyse'!$M$71:$M$81</c:f>
              <c:numCache>
                <c:formatCode>General</c:formatCode>
                <c:ptCount val="11"/>
                <c:pt idx="0">
                  <c:v>3</c:v>
                </c:pt>
                <c:pt idx="1">
                  <c:v>2</c:v>
                </c:pt>
                <c:pt idx="2">
                  <c:v>3</c:v>
                </c:pt>
                <c:pt idx="3">
                  <c:v>4</c:v>
                </c:pt>
                <c:pt idx="4">
                  <c:v>3</c:v>
                </c:pt>
                <c:pt idx="5">
                  <c:v>1</c:v>
                </c:pt>
                <c:pt idx="6">
                  <c:v>2</c:v>
                </c:pt>
                <c:pt idx="7">
                  <c:v>3</c:v>
                </c:pt>
                <c:pt idx="8">
                  <c:v>3</c:v>
                </c:pt>
                <c:pt idx="9">
                  <c:v>4</c:v>
                </c:pt>
                <c:pt idx="10">
                  <c:v>2</c:v>
                </c:pt>
              </c:numCache>
            </c:numRef>
          </c:val>
          <c:smooth val="0"/>
          <c:extLst>
            <c:ext xmlns:c16="http://schemas.microsoft.com/office/drawing/2014/chart" uri="{C3380CC4-5D6E-409C-BE32-E72D297353CC}">
              <c16:uniqueId val="{00000002-6C76-4C2F-8CF4-ED753EA682E0}"/>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analyse'!$N$71:$N$81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3-6C76-4C2F-8CF4-ED753EA682E0}"/>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analyse'!$O$71:$O$81</c:f>
              <c:numCache>
                <c:formatCode>General</c:formatCode>
                <c:ptCount val="11"/>
                <c:pt idx="0">
                  <c:v>4</c:v>
                </c:pt>
                <c:pt idx="1">
                  <c:v>5</c:v>
                </c:pt>
                <c:pt idx="2">
                  <c:v>5</c:v>
                </c:pt>
                <c:pt idx="3">
                  <c:v>4</c:v>
                </c:pt>
                <c:pt idx="4">
                  <c:v>5</c:v>
                </c:pt>
                <c:pt idx="5">
                  <c:v>4</c:v>
                </c:pt>
                <c:pt idx="6">
                  <c:v>2</c:v>
                </c:pt>
                <c:pt idx="7">
                  <c:v>2</c:v>
                </c:pt>
                <c:pt idx="8">
                  <c:v>2</c:v>
                </c:pt>
                <c:pt idx="9">
                  <c:v>3</c:v>
                </c:pt>
                <c:pt idx="10">
                  <c:v>2</c:v>
                </c:pt>
              </c:numCache>
            </c:numRef>
          </c:val>
          <c:smooth val="0"/>
          <c:extLst>
            <c:ext xmlns:c16="http://schemas.microsoft.com/office/drawing/2014/chart" uri="{C3380CC4-5D6E-409C-BE32-E72D297353CC}">
              <c16:uniqueId val="{00000004-6C76-4C2F-8CF4-ED753EA682E0}"/>
            </c:ext>
          </c:extLst>
        </c:ser>
        <c:ser>
          <c:idx val="5"/>
          <c:order val="5"/>
          <c:tx>
            <c:strRef>
              <c:f>'Makro analyse (historisk)'!$AX$69</c:f>
              <c:strCache>
                <c:ptCount val="1"/>
                <c:pt idx="0">
                  <c:v>Q4 2025</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(historisk)'!$B$71:$B$81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(historisk)'!$AX$71:$AX$81</c:f>
              <c:numCache>
                <c:formatCode>0.0</c:formatCode>
                <c:ptCount val="11"/>
                <c:pt idx="0">
                  <c:v>3.4169999999999998</c:v>
                </c:pt>
                <c:pt idx="1">
                  <c:v>2.6392000000000002</c:v>
                </c:pt>
                <c:pt idx="2">
                  <c:v>3.6114999999999999</c:v>
                </c:pt>
                <c:pt idx="3">
                  <c:v>4.1669999999999998</c:v>
                </c:pt>
                <c:pt idx="4">
                  <c:v>3.6114999999999999</c:v>
                </c:pt>
                <c:pt idx="5">
                  <c:v>2.3058999999999998</c:v>
                </c:pt>
                <c:pt idx="6">
                  <c:v>2.3891999999999998</c:v>
                </c:pt>
                <c:pt idx="7">
                  <c:v>2.9169999999999998</c:v>
                </c:pt>
                <c:pt idx="8">
                  <c:v>2.9167999999999998</c:v>
                </c:pt>
                <c:pt idx="9">
                  <c:v>3.5835999999999997</c:v>
                </c:pt>
                <c:pt idx="10">
                  <c:v>2.3891999999999998</c:v>
                </c:pt>
              </c:numCache>
            </c:numRef>
          </c:val>
          <c:smooth val="0"/>
          <c:extLst>
            <c:ext xmlns:c16="http://schemas.microsoft.com/office/drawing/2014/chart" uri="{C3380CC4-5D6E-409C-BE32-E72D297353CC}">
              <c16:uniqueId val="{00000005-6C76-4C2F-8CF4-ED753EA682E0}"/>
            </c:ext>
          </c:extLst>
        </c:ser>
        <c:dLbls>
          <c:dLblPos val="ctr"/>
          <c:showLegendKey val="0"/>
          <c:showVal val="1"/>
          <c:showCatName val="0"/>
          <c:showSerName val="0"/>
          <c:showPercent val="0"/>
          <c:showBubbleSize val="0"/>
        </c:dLbls>
        <c:marker val="1"/>
        <c:smooth val="0"/>
        <c:axId val="777261807"/>
        <c:axId val="777264207"/>
      </c:lineChart>
      <c:catAx>
        <c:axId val="7772618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777264207"/>
        <c:crosses val="autoZero"/>
        <c:auto val="1"/>
        <c:lblAlgn val="ctr"/>
        <c:lblOffset val="100"/>
        <c:noMultiLvlLbl val="0"/>
      </c:catAx>
      <c:valAx>
        <c:axId val="777264207"/>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777261807"/>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Makro Score USA</a:t>
            </a:r>
          </a:p>
        </c:rich>
      </c:tx>
      <c:overlay val="0"/>
      <c:spPr>
        <a:noFill/>
        <a:ln>
          <a:noFill/>
          <a:prstDash val="solid"/>
        </a:ln>
      </c:spPr>
    </c:title>
    <c:autoTitleDeleted val="0"/>
    <c:plotArea>
      <c:layout/>
      <c:lineChart>
        <c:grouping val="standard"/>
        <c:varyColors val="0"/>
        <c:ser>
          <c:idx val="0"/>
          <c:order val="0"/>
          <c:tx>
            <c:strRef>
              <c:f>'Makro analyse (historisk)'!$B$111</c:f>
              <c:strCache>
                <c:ptCount val="1"/>
                <c:pt idx="0">
                  <c:v>Financials</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(historisk)'!$C$111:$AF$111</c:f>
              <c:numCache>
                <c:formatCode>0.0</c:formatCode>
                <c:ptCount val="6"/>
                <c:pt idx="0">
                  <c:v>3.2</c:v>
                </c:pt>
                <c:pt idx="1">
                  <c:v>2.8000000000000003</c:v>
                </c:pt>
                <c:pt idx="2">
                  <c:v>2.8000000000000003</c:v>
                </c:pt>
                <c:pt idx="3">
                  <c:v>3.4000000000000004</c:v>
                </c:pt>
                <c:pt idx="4">
                  <c:v>3.4000000000000004</c:v>
                </c:pt>
                <c:pt idx="5">
                  <c:v>3.4000000000000004</c:v>
                </c:pt>
              </c:numCache>
            </c:numRef>
          </c:val>
          <c:smooth val="0"/>
          <c:extLst>
            <c:ext xmlns:c16="http://schemas.microsoft.com/office/drawing/2014/chart" uri="{C3380CC4-5D6E-409C-BE32-E72D297353CC}">
              <c16:uniqueId val="{00000000-1251-448D-8ED0-3BCC9BEA09CF}"/>
            </c:ext>
          </c:extLst>
        </c:ser>
        <c:ser>
          <c:idx val="1"/>
          <c:order val="1"/>
          <c:tx>
            <c:strRef>
              <c:f>'Makro analyse (historisk)'!$B$112</c:f>
              <c:strCache>
                <c:ptCount val="1"/>
                <c:pt idx="0">
                  <c:v>Real Estate</c:v>
                </c:pt>
              </c:strCache>
            </c:strRef>
          </c:tx>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(historisk)'!$C$112:$AF$112</c:f>
              <c:numCache>
                <c:formatCode>0.0</c:formatCode>
                <c:ptCount val="6"/>
                <c:pt idx="0">
                  <c:v>3.5999999999999996</c:v>
                </c:pt>
                <c:pt idx="1">
                  <c:v>3.4</c:v>
                </c:pt>
                <c:pt idx="2">
                  <c:v>3.8</c:v>
                </c:pt>
                <c:pt idx="3">
                  <c:v>3.5</c:v>
                </c:pt>
                <c:pt idx="4">
                  <c:v>2</c:v>
                </c:pt>
                <c:pt idx="5">
                  <c:v>3.1</c:v>
                </c:pt>
              </c:numCache>
            </c:numRef>
          </c:val>
          <c:smooth val="0"/>
          <c:extLst>
            <c:ext xmlns:c16="http://schemas.microsoft.com/office/drawing/2014/chart" uri="{C3380CC4-5D6E-409C-BE32-E72D297353CC}">
              <c16:uniqueId val="{00000001-1251-448D-8ED0-3BCC9BEA09CF}"/>
            </c:ext>
          </c:extLst>
        </c:ser>
        <c:ser>
          <c:idx val="2"/>
          <c:order val="2"/>
          <c:tx>
            <c:strRef>
              <c:f>'Makro analyse (historisk)'!$B$113</c:f>
              <c:strCache>
                <c:ptCount val="1"/>
                <c:pt idx="0">
                  <c:v>Consumer Discretionary</c:v>
                </c:pt>
              </c:strCache>
            </c:strRef>
          </c:tx>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(historisk)'!$C$113:$AF$113</c:f>
              <c:numCache>
                <c:formatCode>0.0</c:formatCode>
                <c:ptCount val="6"/>
                <c:pt idx="0">
                  <c:v>3.1</c:v>
                </c:pt>
                <c:pt idx="1">
                  <c:v>3.1</c:v>
                </c:pt>
                <c:pt idx="2">
                  <c:v>2.7</c:v>
                </c:pt>
                <c:pt idx="3">
                  <c:v>3.3</c:v>
                </c:pt>
                <c:pt idx="4">
                  <c:v>3.4000000000000004</c:v>
                </c:pt>
                <c:pt idx="5">
                  <c:v>3.7</c:v>
                </c:pt>
              </c:numCache>
            </c:numRef>
          </c:val>
          <c:smooth val="0"/>
          <c:extLst>
            <c:ext xmlns:c16="http://schemas.microsoft.com/office/drawing/2014/chart" uri="{C3380CC4-5D6E-409C-BE32-E72D297353CC}">
              <c16:uniqueId val="{00000002-1251-448D-8ED0-3BCC9BEA09CF}"/>
            </c:ext>
          </c:extLst>
        </c:ser>
        <c:ser>
          <c:idx val="3"/>
          <c:order val="3"/>
          <c:tx>
            <c:strRef>
              <c:f>'Makro analyse (historisk)'!$B$114</c:f>
              <c:strCache>
                <c:ptCount val="1"/>
                <c:pt idx="0">
                  <c:v>Information Technology</c:v>
                </c:pt>
              </c:strCache>
            </c:strRef>
          </c:tx>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(historisk)'!$C$114:$AF$114</c:f>
              <c:numCache>
                <c:formatCode>0.0</c:formatCode>
                <c:ptCount val="6"/>
                <c:pt idx="0">
                  <c:v>3.5</c:v>
                </c:pt>
                <c:pt idx="1">
                  <c:v>3.5</c:v>
                </c:pt>
                <c:pt idx="2">
                  <c:v>3.1</c:v>
                </c:pt>
                <c:pt idx="3">
                  <c:v>3.7</c:v>
                </c:pt>
                <c:pt idx="4">
                  <c:v>3.8</c:v>
                </c:pt>
                <c:pt idx="5">
                  <c:v>4.0999999999999996</c:v>
                </c:pt>
              </c:numCache>
            </c:numRef>
          </c:val>
          <c:smooth val="0"/>
          <c:extLst>
            <c:ext xmlns:c16="http://schemas.microsoft.com/office/drawing/2014/chart" uri="{C3380CC4-5D6E-409C-BE32-E72D297353CC}">
              <c16:uniqueId val="{00000003-1251-448D-8ED0-3BCC9BEA09CF}"/>
            </c:ext>
          </c:extLst>
        </c:ser>
        <c:ser>
          <c:idx val="4"/>
          <c:order val="4"/>
          <c:tx>
            <c:strRef>
              <c:f>'Makro analyse (historisk)'!$B$115</c:f>
              <c:strCache>
                <c:ptCount val="1"/>
                <c:pt idx="0">
                  <c:v>Industrials</c:v>
                </c:pt>
              </c:strCache>
            </c:strRef>
          </c:tx>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(historisk)'!$C$115:$AF$115</c:f>
              <c:numCache>
                <c:formatCode>0.0</c:formatCode>
                <c:ptCount val="6"/>
                <c:pt idx="0">
                  <c:v>3.5000000000000004</c:v>
                </c:pt>
                <c:pt idx="1">
                  <c:v>3.1</c:v>
                </c:pt>
                <c:pt idx="2">
                  <c:v>3.1</c:v>
                </c:pt>
                <c:pt idx="3">
                  <c:v>3.7</c:v>
                </c:pt>
                <c:pt idx="4">
                  <c:v>3</c:v>
                </c:pt>
                <c:pt idx="5">
                  <c:v>3.7</c:v>
                </c:pt>
              </c:numCache>
            </c:numRef>
          </c:val>
          <c:smooth val="0"/>
          <c:extLst>
            <c:ext xmlns:c16="http://schemas.microsoft.com/office/drawing/2014/chart" uri="{C3380CC4-5D6E-409C-BE32-E72D297353CC}">
              <c16:uniqueId val="{00000004-1251-448D-8ED0-3BCC9BEA09CF}"/>
            </c:ext>
          </c:extLst>
        </c:ser>
        <c:ser>
          <c:idx val="5"/>
          <c:order val="5"/>
          <c:tx>
            <c:strRef>
              <c:f>'Makro analyse (historisk)'!$B$116</c:f>
              <c:strCache>
                <c:ptCount val="1"/>
                <c:pt idx="0">
                  <c:v>Materials</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(historisk)'!$C$116:$AF$116</c:f>
              <c:numCache>
                <c:formatCode>0.0</c:formatCode>
                <c:ptCount val="6"/>
                <c:pt idx="0">
                  <c:v>3.1</c:v>
                </c:pt>
                <c:pt idx="1">
                  <c:v>2.9</c:v>
                </c:pt>
                <c:pt idx="2">
                  <c:v>3.3000000000000003</c:v>
                </c:pt>
                <c:pt idx="3">
                  <c:v>3.0000000000000004</c:v>
                </c:pt>
                <c:pt idx="4">
                  <c:v>2.2000000000000002</c:v>
                </c:pt>
                <c:pt idx="5">
                  <c:v>2.6</c:v>
                </c:pt>
              </c:numCache>
            </c:numRef>
          </c:val>
          <c:smooth val="0"/>
          <c:extLst>
            <c:ext xmlns:c16="http://schemas.microsoft.com/office/drawing/2014/chart" uri="{C3380CC4-5D6E-409C-BE32-E72D297353CC}">
              <c16:uniqueId val="{00000005-1251-448D-8ED0-3BCC9BEA09CF}"/>
            </c:ext>
          </c:extLst>
        </c:ser>
        <c:ser>
          <c:idx val="6"/>
          <c:order val="6"/>
          <c:tx>
            <c:strRef>
              <c:f>'Makro analyse (historisk)'!$B$117</c:f>
              <c:strCache>
                <c:ptCount val="1"/>
                <c:pt idx="0">
                  <c:v>Consumer Staples</c:v>
                </c:pt>
              </c:strCache>
            </c:strRef>
          </c:tx>
          <c:spPr>
            <a:ln w="31750" cap="rnd">
              <a:solidFill>
                <a:schemeClr val="accent1">
                  <a:lumMod val="60000"/>
                </a:schemeClr>
              </a:solidFill>
              <a:prstDash val="solid"/>
              <a:round/>
            </a:ln>
          </c:spPr>
          <c:marker>
            <c:symbol val="circle"/>
            <c:size val="17"/>
            <c:spPr>
              <a:solidFill>
                <a:schemeClr val="accent1">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(historisk)'!$C$117:$AF$117</c:f>
              <c:numCache>
                <c:formatCode>0.0</c:formatCode>
                <c:ptCount val="6"/>
                <c:pt idx="0">
                  <c:v>3</c:v>
                </c:pt>
                <c:pt idx="1">
                  <c:v>3</c:v>
                </c:pt>
                <c:pt idx="2">
                  <c:v>3.4000000000000004</c:v>
                </c:pt>
                <c:pt idx="3">
                  <c:v>2.8000000000000003</c:v>
                </c:pt>
                <c:pt idx="4">
                  <c:v>3.0000000000000004</c:v>
                </c:pt>
                <c:pt idx="5">
                  <c:v>2.4</c:v>
                </c:pt>
              </c:numCache>
            </c:numRef>
          </c:val>
          <c:smooth val="0"/>
          <c:extLst>
            <c:ext xmlns:c16="http://schemas.microsoft.com/office/drawing/2014/chart" uri="{C3380CC4-5D6E-409C-BE32-E72D297353CC}">
              <c16:uniqueId val="{00000006-1251-448D-8ED0-3BCC9BEA09CF}"/>
            </c:ext>
          </c:extLst>
        </c:ser>
        <c:ser>
          <c:idx val="7"/>
          <c:order val="7"/>
          <c:tx>
            <c:strRef>
              <c:f>'Makro analyse (historisk)'!$B$118</c:f>
              <c:strCache>
                <c:ptCount val="1"/>
                <c:pt idx="0">
                  <c:v>Health Care</c:v>
                </c:pt>
              </c:strCache>
            </c:strRef>
          </c:tx>
          <c:spPr>
            <a:ln w="31750" cap="rnd">
              <a:solidFill>
                <a:schemeClr val="accent2">
                  <a:lumMod val="60000"/>
                </a:schemeClr>
              </a:solidFill>
              <a:prstDash val="solid"/>
              <a:round/>
            </a:ln>
          </c:spPr>
          <c:marker>
            <c:symbol val="circle"/>
            <c:size val="17"/>
            <c:spPr>
              <a:solidFill>
                <a:schemeClr val="accent2">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(historisk)'!$C$118:$AF$118</c:f>
              <c:numCache>
                <c:formatCode>0.0</c:formatCode>
                <c:ptCount val="6"/>
                <c:pt idx="0">
                  <c:v>2.7</c:v>
                </c:pt>
                <c:pt idx="1">
                  <c:v>2.7</c:v>
                </c:pt>
                <c:pt idx="2">
                  <c:v>2.7</c:v>
                </c:pt>
                <c:pt idx="3">
                  <c:v>2.7</c:v>
                </c:pt>
                <c:pt idx="4">
                  <c:v>3.4</c:v>
                </c:pt>
                <c:pt idx="5">
                  <c:v>2.7</c:v>
                </c:pt>
              </c:numCache>
            </c:numRef>
          </c:val>
          <c:smooth val="0"/>
          <c:extLst>
            <c:ext xmlns:c16="http://schemas.microsoft.com/office/drawing/2014/chart" uri="{C3380CC4-5D6E-409C-BE32-E72D297353CC}">
              <c16:uniqueId val="{00000007-1251-448D-8ED0-3BCC9BEA09CF}"/>
            </c:ext>
          </c:extLst>
        </c:ser>
        <c:ser>
          <c:idx val="8"/>
          <c:order val="8"/>
          <c:tx>
            <c:strRef>
              <c:f>'Makro analyse (historisk)'!$B$119</c:f>
              <c:strCache>
                <c:ptCount val="1"/>
                <c:pt idx="0">
                  <c:v>Energy</c:v>
                </c:pt>
              </c:strCache>
            </c:strRef>
          </c:tx>
          <c:spPr>
            <a:ln w="31750" cap="rnd">
              <a:solidFill>
                <a:schemeClr val="accent3">
                  <a:lumMod val="60000"/>
                </a:schemeClr>
              </a:solidFill>
              <a:prstDash val="solid"/>
              <a:round/>
            </a:ln>
          </c:spPr>
          <c:marker>
            <c:symbol val="circle"/>
            <c:size val="17"/>
            <c:spPr>
              <a:solidFill>
                <a:schemeClr val="accent3">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(historisk)'!$C$119:$AF$119</c:f>
              <c:numCache>
                <c:formatCode>0.0</c:formatCode>
                <c:ptCount val="6"/>
                <c:pt idx="0">
                  <c:v>3.7</c:v>
                </c:pt>
                <c:pt idx="1">
                  <c:v>3.7</c:v>
                </c:pt>
                <c:pt idx="2">
                  <c:v>4.0999999999999996</c:v>
                </c:pt>
                <c:pt idx="3">
                  <c:v>3.5</c:v>
                </c:pt>
                <c:pt idx="4">
                  <c:v>2.9999999999999996</c:v>
                </c:pt>
                <c:pt idx="5">
                  <c:v>3.1</c:v>
                </c:pt>
              </c:numCache>
            </c:numRef>
          </c:val>
          <c:smooth val="0"/>
          <c:extLst>
            <c:ext xmlns:c16="http://schemas.microsoft.com/office/drawing/2014/chart" uri="{C3380CC4-5D6E-409C-BE32-E72D297353CC}">
              <c16:uniqueId val="{00000008-1251-448D-8ED0-3BCC9BEA09CF}"/>
            </c:ext>
          </c:extLst>
        </c:ser>
        <c:ser>
          <c:idx val="9"/>
          <c:order val="9"/>
          <c:tx>
            <c:strRef>
              <c:f>'Makro analyse (historisk)'!$B$120</c:f>
              <c:strCache>
                <c:ptCount val="1"/>
                <c:pt idx="0">
                  <c:v>Communications Services</c:v>
                </c:pt>
              </c:strCache>
            </c:strRef>
          </c:tx>
          <c:spPr>
            <a:ln w="31750" cap="rnd">
              <a:solidFill>
                <a:schemeClr val="accent4">
                  <a:lumMod val="60000"/>
                </a:schemeClr>
              </a:solidFill>
              <a:prstDash val="solid"/>
              <a:round/>
            </a:ln>
          </c:spPr>
          <c:marker>
            <c:symbol val="circle"/>
            <c:size val="17"/>
            <c:spPr>
              <a:solidFill>
                <a:schemeClr val="accent4">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(historisk)'!$C$120:$AF$120</c:f>
              <c:numCache>
                <c:formatCode>0.0</c:formatCode>
                <c:ptCount val="6"/>
                <c:pt idx="0">
                  <c:v>3.1999999999999997</c:v>
                </c:pt>
                <c:pt idx="1">
                  <c:v>3.1999999999999997</c:v>
                </c:pt>
                <c:pt idx="2">
                  <c:v>3</c:v>
                </c:pt>
                <c:pt idx="3">
                  <c:v>3.3</c:v>
                </c:pt>
                <c:pt idx="4">
                  <c:v>3.4000000000000004</c:v>
                </c:pt>
                <c:pt idx="5">
                  <c:v>3.5</c:v>
                </c:pt>
              </c:numCache>
            </c:numRef>
          </c:val>
          <c:smooth val="0"/>
          <c:extLst>
            <c:ext xmlns:c16="http://schemas.microsoft.com/office/drawing/2014/chart" uri="{C3380CC4-5D6E-409C-BE32-E72D297353CC}">
              <c16:uniqueId val="{00000009-1251-448D-8ED0-3BCC9BEA09CF}"/>
            </c:ext>
          </c:extLst>
        </c:ser>
        <c:ser>
          <c:idx val="10"/>
          <c:order val="10"/>
          <c:tx>
            <c:strRef>
              <c:f>'Makro analyse (historisk)'!$B$121</c:f>
              <c:strCache>
                <c:ptCount val="1"/>
                <c:pt idx="0">
                  <c:v>Utilities</c:v>
                </c:pt>
              </c:strCache>
            </c:strRef>
          </c:tx>
          <c:spPr>
            <a:ln w="31750" cap="rnd">
              <a:solidFill>
                <a:schemeClr val="accent5">
                  <a:lumMod val="60000"/>
                </a:schemeClr>
              </a:solidFill>
              <a:prstDash val="solid"/>
              <a:round/>
            </a:ln>
          </c:spPr>
          <c:marker>
            <c:symbol val="circle"/>
            <c:size val="17"/>
            <c:spPr>
              <a:solidFill>
                <a:schemeClr val="accent5">
                  <a:lumMod val="6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'Makro analyse (historisk)'!$C$121:$AF$121</c:f>
              <c:numCache>
                <c:formatCode>0.0</c:formatCode>
                <c:ptCount val="6"/>
                <c:pt idx="0">
                  <c:v>3</c:v>
                </c:pt>
                <c:pt idx="1">
                  <c:v>3</c:v>
                </c:pt>
                <c:pt idx="2">
                  <c:v>3.4000000000000004</c:v>
                </c:pt>
                <c:pt idx="3">
                  <c:v>2.8000000000000003</c:v>
                </c:pt>
                <c:pt idx="4">
                  <c:v>3.0000000000000004</c:v>
                </c:pt>
                <c:pt idx="5">
                  <c:v>2.4</c:v>
                </c:pt>
              </c:numCache>
            </c:numRef>
          </c:val>
          <c:smooth val="0"/>
          <c:extLst>
            <c:ext xmlns:c16="http://schemas.microsoft.com/office/drawing/2014/chart" uri="{C3380CC4-5D6E-409C-BE32-E72D297353CC}">
              <c16:uniqueId val="{0000000A-1251-448D-8ED0-3BCC9BEA09CF}"/>
            </c:ext>
          </c:extLst>
        </c:ser>
        <c:dLbls>
          <c:dLblPos val="ctr"/>
          <c:showLegendKey val="0"/>
          <c:showVal val="1"/>
          <c:showCatName val="0"/>
          <c:showSerName val="0"/>
          <c:showPercent val="0"/>
          <c:showBubbleSize val="0"/>
        </c:dLbls>
        <c:marker val="1"/>
        <c:smooth val="0"/>
        <c:axId val="1482911423"/>
        <c:axId val="1482896063"/>
      </c:lineChart>
      <c:catAx>
        <c:axId val="1482911423"/>
        <c:scaling>
          <c:orientation val="minMax"/>
        </c:scaling>
        <c:delete val="0"/>
        <c:axPos val="b"/>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1482896063"/>
        <c:crosses val="autoZero"/>
        <c:auto val="1"/>
        <c:lblAlgn val="ctr"/>
        <c:lblOffset val="100"/>
        <c:noMultiLvlLbl val="0"/>
      </c:catAx>
      <c:valAx>
        <c:axId val="1482896063"/>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1482911423"/>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defRPr sz="1800" b="1" i="0" strike="noStrike" kern="1200" baseline="0">
                <a:solidFill>
                  <a:sysClr val="windowText" lastClr="000000">
                    <a:lumOff val="25000"/>
                    <a:lumMod val="75000"/>
                  </a:sysClr>
                </a:solidFill>
                <a:latin typeface="+mn-lt"/>
                <a:ea typeface="+mn-ea"/>
                <a:cs typeface="+mn-cs"/>
              </a:defRPr>
            </a:pPr>
            <a:r>
              <a:rPr lang="da-DK" sz="1800" b="1" i="0" strike="noStrike" kern="1200" baseline="0">
                <a:solidFill>
                  <a:sysClr val="windowText" lastClr="000000">
                    <a:lumOff val="25000"/>
                    <a:lumMod val="75000"/>
                  </a:sysClr>
                </a:solidFill>
              </a:rPr>
              <a:t>Fremtid MarketScore USA</a:t>
            </a:r>
          </a:p>
        </c:rich>
      </c:tx>
      <c:overlay val="0"/>
      <c:spPr>
        <a:noFill/>
        <a:ln>
          <a:noFill/>
          <a:prstDash val="solid"/>
        </a:ln>
      </c:spPr>
    </c:title>
    <c:autoTitleDeleted val="0"/>
    <c:plotArea>
      <c:layout/>
      <c:lineChart>
        <c:grouping val="standard"/>
        <c:varyColors val="0"/>
        <c:ser>
          <c:idx val="0"/>
          <c:order val="0"/>
          <c:tx>
            <c:strRef>
              <c:f>'Makro analyse (historisk)'!$AO$109</c:f>
              <c:strCache>
                <c:ptCount val="1"/>
                <c:pt idx="0">
                  <c:v>Q1 2026</c:v>
                </c:pt>
              </c:strCache>
            </c:strRef>
          </c:tx>
          <c:spPr>
            <a:ln w="31750" cap="rnd">
              <a:solidFill>
                <a:schemeClr val="accent1"/>
              </a:solidFill>
              <a:prstDash val="solid"/>
              <a:round/>
            </a:ln>
          </c:spPr>
          <c:marker>
            <c:symbol val="circle"/>
            <c:size val="17"/>
            <c:spPr>
              <a:solidFill>
                <a:schemeClr val="accent1"/>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(historisk)'!$AO$111:$AO$121</c:f>
              <c:numCache>
                <c:formatCode>0.0</c:formatCode>
                <c:ptCount val="11"/>
                <c:pt idx="0">
                  <c:v>3.3613999999999997</c:v>
                </c:pt>
                <c:pt idx="1">
                  <c:v>3.2781999999999996</c:v>
                </c:pt>
                <c:pt idx="2">
                  <c:v>3.1949000000000001</c:v>
                </c:pt>
                <c:pt idx="3">
                  <c:v>3.7503999999999995</c:v>
                </c:pt>
                <c:pt idx="4">
                  <c:v>3.5836999999999999</c:v>
                </c:pt>
                <c:pt idx="5">
                  <c:v>2.8614999999999999</c:v>
                </c:pt>
                <c:pt idx="6">
                  <c:v>2.8336000000000001</c:v>
                </c:pt>
                <c:pt idx="7">
                  <c:v>2.778</c:v>
                </c:pt>
                <c:pt idx="8">
                  <c:v>3.6114000000000006</c:v>
                </c:pt>
                <c:pt idx="9">
                  <c:v>3.3613999999999993</c:v>
                </c:pt>
                <c:pt idx="10">
                  <c:v>2.8336000000000001</c:v>
                </c:pt>
              </c:numCache>
            </c:numRef>
          </c:val>
          <c:smooth val="0"/>
          <c:extLst>
            <c:ext xmlns:c16="http://schemas.microsoft.com/office/drawing/2014/chart" uri="{C3380CC4-5D6E-409C-BE32-E72D297353CC}">
              <c16:uniqueId val="{00000000-8209-42E4-9998-E092BB77EEEE}"/>
            </c:ext>
          </c:extLst>
        </c:ser>
        <c:ser>
          <c:idx val="1"/>
          <c:order val="1"/>
          <c:spPr>
            <a:ln w="31750" cap="rnd">
              <a:solidFill>
                <a:schemeClr val="accent2"/>
              </a:solidFill>
              <a:prstDash val="solid"/>
              <a:round/>
            </a:ln>
          </c:spPr>
          <c:marker>
            <c:symbol val="circle"/>
            <c:size val="17"/>
            <c:spPr>
              <a:solidFill>
                <a:schemeClr val="accent2"/>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analyse'!$L$111:$L$121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1-8209-42E4-9998-E092BB77EEEE}"/>
            </c:ext>
          </c:extLst>
        </c:ser>
        <c:ser>
          <c:idx val="2"/>
          <c:order val="2"/>
          <c:spPr>
            <a:ln w="31750" cap="rnd">
              <a:solidFill>
                <a:schemeClr val="accent3"/>
              </a:solidFill>
              <a:prstDash val="solid"/>
              <a:round/>
            </a:ln>
          </c:spPr>
          <c:marker>
            <c:symbol val="circle"/>
            <c:size val="17"/>
            <c:spPr>
              <a:solidFill>
                <a:schemeClr val="accent3"/>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analyse'!$M$111:$M$121</c:f>
              <c:numCache>
                <c:formatCode>General</c:formatCode>
                <c:ptCount val="11"/>
                <c:pt idx="0">
                  <c:v>3</c:v>
                </c:pt>
                <c:pt idx="1">
                  <c:v>2</c:v>
                </c:pt>
                <c:pt idx="2">
                  <c:v>3</c:v>
                </c:pt>
                <c:pt idx="3">
                  <c:v>4</c:v>
                </c:pt>
                <c:pt idx="4">
                  <c:v>3</c:v>
                </c:pt>
                <c:pt idx="5">
                  <c:v>1</c:v>
                </c:pt>
                <c:pt idx="6">
                  <c:v>2</c:v>
                </c:pt>
                <c:pt idx="7">
                  <c:v>3</c:v>
                </c:pt>
                <c:pt idx="8">
                  <c:v>3</c:v>
                </c:pt>
                <c:pt idx="9">
                  <c:v>4</c:v>
                </c:pt>
                <c:pt idx="10">
                  <c:v>2</c:v>
                </c:pt>
              </c:numCache>
            </c:numRef>
          </c:val>
          <c:smooth val="0"/>
          <c:extLst>
            <c:ext xmlns:c16="http://schemas.microsoft.com/office/drawing/2014/chart" uri="{C3380CC4-5D6E-409C-BE32-E72D297353CC}">
              <c16:uniqueId val="{00000002-8209-42E4-9998-E092BB77EEEE}"/>
            </c:ext>
          </c:extLst>
        </c:ser>
        <c:ser>
          <c:idx val="3"/>
          <c:order val="3"/>
          <c:spPr>
            <a:ln w="31750" cap="rnd">
              <a:solidFill>
                <a:schemeClr val="accent4"/>
              </a:solidFill>
              <a:prstDash val="solid"/>
              <a:round/>
            </a:ln>
          </c:spPr>
          <c:marker>
            <c:symbol val="circle"/>
            <c:size val="17"/>
            <c:spPr>
              <a:solidFill>
                <a:schemeClr val="accent4"/>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analyse'!$N$111:$N$121</c:f>
              <c:numCache>
                <c:formatCode>General</c:formatCode>
                <c:ptCount val="11"/>
                <c:pt idx="0">
                  <c:v>2</c:v>
                </c:pt>
                <c:pt idx="1">
                  <c:v>3</c:v>
                </c:pt>
                <c:pt idx="2">
                  <c:v>2</c:v>
                </c:pt>
                <c:pt idx="3">
                  <c:v>3</c:v>
                </c:pt>
                <c:pt idx="4">
                  <c:v>2</c:v>
                </c:pt>
                <c:pt idx="5">
                  <c:v>3</c:v>
                </c:pt>
                <c:pt idx="6">
                  <c:v>4</c:v>
                </c:pt>
                <c:pt idx="7">
                  <c:v>3</c:v>
                </c:pt>
                <c:pt idx="8">
                  <c:v>5</c:v>
                </c:pt>
                <c:pt idx="9">
                  <c:v>3</c:v>
                </c:pt>
                <c:pt idx="10">
                  <c:v>4</c:v>
                </c:pt>
              </c:numCache>
            </c:numRef>
          </c:val>
          <c:smooth val="0"/>
          <c:extLst>
            <c:ext xmlns:c16="http://schemas.microsoft.com/office/drawing/2014/chart" uri="{C3380CC4-5D6E-409C-BE32-E72D297353CC}">
              <c16:uniqueId val="{00000003-8209-42E4-9998-E092BB77EEEE}"/>
            </c:ext>
          </c:extLst>
        </c:ser>
        <c:ser>
          <c:idx val="4"/>
          <c:order val="4"/>
          <c:spPr>
            <a:ln w="31750" cap="rnd">
              <a:solidFill>
                <a:schemeClr val="accent5"/>
              </a:solidFill>
              <a:prstDash val="solid"/>
              <a:round/>
            </a:ln>
          </c:spPr>
          <c:marker>
            <c:symbol val="circle"/>
            <c:size val="17"/>
            <c:spPr>
              <a:solidFill>
                <a:schemeClr val="accent5"/>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analyse'!$O$111:$O$121</c:f>
              <c:numCache>
                <c:formatCode>General</c:formatCode>
                <c:ptCount val="11"/>
                <c:pt idx="0">
                  <c:v>4</c:v>
                </c:pt>
                <c:pt idx="1">
                  <c:v>2</c:v>
                </c:pt>
                <c:pt idx="2">
                  <c:v>4</c:v>
                </c:pt>
                <c:pt idx="3">
                  <c:v>5</c:v>
                </c:pt>
                <c:pt idx="4">
                  <c:v>4</c:v>
                </c:pt>
                <c:pt idx="5">
                  <c:v>2</c:v>
                </c:pt>
                <c:pt idx="6">
                  <c:v>2</c:v>
                </c:pt>
                <c:pt idx="7">
                  <c:v>3</c:v>
                </c:pt>
                <c:pt idx="8">
                  <c:v>3</c:v>
                </c:pt>
                <c:pt idx="9">
                  <c:v>4</c:v>
                </c:pt>
                <c:pt idx="10">
                  <c:v>2</c:v>
                </c:pt>
              </c:numCache>
            </c:numRef>
          </c:val>
          <c:smooth val="0"/>
          <c:extLst>
            <c:ext xmlns:c16="http://schemas.microsoft.com/office/drawing/2014/chart" uri="{C3380CC4-5D6E-409C-BE32-E72D297353CC}">
              <c16:uniqueId val="{00000004-8209-42E4-9998-E092BB77EEEE}"/>
            </c:ext>
          </c:extLst>
        </c:ser>
        <c:ser>
          <c:idx val="5"/>
          <c:order val="5"/>
          <c:tx>
            <c:strRef>
              <c:f>'Makro analyse (historisk)'!$AX$109</c:f>
              <c:strCache>
                <c:ptCount val="1"/>
                <c:pt idx="0">
                  <c:v>Q2 2026</c:v>
                </c:pt>
              </c:strCache>
            </c:strRef>
          </c:tx>
          <c:spPr>
            <a:ln w="31750" cap="rnd">
              <a:solidFill>
                <a:schemeClr val="accent6"/>
              </a:solidFill>
              <a:prstDash val="solid"/>
              <a:round/>
            </a:ln>
          </c:spPr>
          <c:marker>
            <c:symbol val="circle"/>
            <c:size val="17"/>
            <c:spPr>
              <a:solidFill>
                <a:schemeClr val="accent6"/>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'Makro analyse (historisk)'!$B$111:$B$121</c:f>
              <c:strCache>
                <c:ptCount val="11"/>
                <c:pt idx="0">
                  <c:v>Financials</c:v>
                </c:pt>
                <c:pt idx="1">
                  <c:v>Real Estate</c:v>
                </c:pt>
                <c:pt idx="2">
                  <c:v>Consumer Discretionary</c:v>
                </c:pt>
                <c:pt idx="3">
                  <c:v>Information Technology</c:v>
                </c:pt>
                <c:pt idx="4">
                  <c:v>Industrials</c:v>
                </c:pt>
                <c:pt idx="5">
                  <c:v>Materials</c:v>
                </c:pt>
                <c:pt idx="6">
                  <c:v>Consumer Staples</c:v>
                </c:pt>
                <c:pt idx="7">
                  <c:v>Health Care</c:v>
                </c:pt>
                <c:pt idx="8">
                  <c:v>Energy</c:v>
                </c:pt>
                <c:pt idx="9">
                  <c:v>Communications Services</c:v>
                </c:pt>
                <c:pt idx="10">
                  <c:v>Utilities</c:v>
                </c:pt>
              </c:strCache>
            </c:strRef>
          </c:cat>
          <c:val>
            <c:numRef>
              <c:f>'Makro analyse (historisk)'!$AX$111:$AX$121</c:f>
              <c:numCache>
                <c:formatCode>0.0</c:formatCode>
                <c:ptCount val="11"/>
                <c:pt idx="0">
                  <c:v>3.3057999999999996</c:v>
                </c:pt>
                <c:pt idx="1">
                  <c:v>2.6114000000000002</c:v>
                </c:pt>
                <c:pt idx="2">
                  <c:v>3.4724999999999997</c:v>
                </c:pt>
                <c:pt idx="3">
                  <c:v>4.0836000000000006</c:v>
                </c:pt>
                <c:pt idx="4">
                  <c:v>3.4724999999999997</c:v>
                </c:pt>
                <c:pt idx="5">
                  <c:v>2.3058999999999998</c:v>
                </c:pt>
                <c:pt idx="6">
                  <c:v>2.5004</c:v>
                </c:pt>
                <c:pt idx="7">
                  <c:v>2.9447999999999999</c:v>
                </c:pt>
                <c:pt idx="8">
                  <c:v>3.0558000000000001</c:v>
                </c:pt>
                <c:pt idx="9">
                  <c:v>3.5558000000000001</c:v>
                </c:pt>
                <c:pt idx="10">
                  <c:v>2.5004</c:v>
                </c:pt>
              </c:numCache>
            </c:numRef>
          </c:val>
          <c:smooth val="0"/>
          <c:extLst>
            <c:ext xmlns:c16="http://schemas.microsoft.com/office/drawing/2014/chart" uri="{C3380CC4-5D6E-409C-BE32-E72D297353CC}">
              <c16:uniqueId val="{00000005-8209-42E4-9998-E092BB77EEEE}"/>
            </c:ext>
          </c:extLst>
        </c:ser>
        <c:dLbls>
          <c:dLblPos val="ctr"/>
          <c:showLegendKey val="0"/>
          <c:showVal val="1"/>
          <c:showCatName val="0"/>
          <c:showSerName val="0"/>
          <c:showPercent val="0"/>
          <c:showBubbleSize val="0"/>
        </c:dLbls>
        <c:marker val="1"/>
        <c:smooth val="0"/>
        <c:axId val="1504582639"/>
        <c:axId val="1504592239"/>
      </c:lineChart>
      <c:catAx>
        <c:axId val="15045826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da-DK"/>
          </a:p>
        </c:txPr>
        <c:crossAx val="1504592239"/>
        <c:crosses val="autoZero"/>
        <c:auto val="1"/>
        <c:lblAlgn val="ctr"/>
        <c:lblOffset val="100"/>
        <c:noMultiLvlLbl val="0"/>
      </c:catAx>
      <c:valAx>
        <c:axId val="1504592239"/>
        <c:scaling>
          <c:orientation val="minMax"/>
        </c:scaling>
        <c:delete val="1"/>
        <c:axPos val="l"/>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0" sourceLinked="1"/>
        <c:majorTickMark val="none"/>
        <c:minorTickMark val="none"/>
        <c:tickLblPos val="nextTo"/>
        <c:crossAx val="1504582639"/>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da-DK"/>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da-DK"/>
              <a:t>None</a:t>
            </a:r>
          </a:p>
        </c:rich>
      </c:tx>
      <c:overlay val="0"/>
      <c:spPr>
        <a:noFill/>
        <a:ln>
          <a:noFill/>
          <a:prstDash val="solid"/>
        </a:ln>
      </c:spPr>
    </c:title>
    <c:autoTitleDeleted val="0"/>
    <c:plotArea>
      <c:layout/>
      <c:lineChart>
        <c:grouping val="standard"/>
        <c:varyColors val="0"/>
        <c:ser>
          <c:idx val="0"/>
          <c:order val="0"/>
          <c:tx>
            <c:strRef>
              <c:f>PMI!$E$4</c:f>
              <c:strCache>
                <c:ptCount val="1"/>
                <c:pt idx="0">
                  <c:v>USA PMI</c:v>
                </c:pt>
              </c:strCache>
            </c:strRef>
          </c:tx>
          <c:spPr>
            <a:ln w="25400" cap="rnd">
              <a:solidFill>
                <a:schemeClr val="lt1"/>
              </a:solidFill>
              <a:prstDash val="solid"/>
              <a:round/>
            </a:ln>
          </c:spPr>
          <c:marker>
            <c:symbol val="none"/>
          </c:marker>
          <c:dLbls>
            <c:spPr>
              <a:solidFill>
                <a:schemeClr val="accent1"/>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PMI!$D$5:$D$10</c:f>
              <c:strCache>
                <c:ptCount val="6"/>
                <c:pt idx="0">
                  <c:v>Q1 2024</c:v>
                </c:pt>
                <c:pt idx="1">
                  <c:v>Q2 2024</c:v>
                </c:pt>
                <c:pt idx="2">
                  <c:v>Q3 2024</c:v>
                </c:pt>
                <c:pt idx="3">
                  <c:v>Q4 2024</c:v>
                </c:pt>
                <c:pt idx="4">
                  <c:v>Q1 2025</c:v>
                </c:pt>
                <c:pt idx="5">
                  <c:v>Q2 2025</c:v>
                </c:pt>
              </c:strCache>
            </c:strRef>
          </c:cat>
          <c:val>
            <c:numRef>
              <c:f>PMI!$E$5:$E$10</c:f>
              <c:numCache>
                <c:formatCode>General</c:formatCode>
                <c:ptCount val="6"/>
                <c:pt idx="0">
                  <c:v>48.7</c:v>
                </c:pt>
                <c:pt idx="1">
                  <c:v>47.7</c:v>
                </c:pt>
                <c:pt idx="2">
                  <c:v>47.6</c:v>
                </c:pt>
                <c:pt idx="3">
                  <c:v>48.6</c:v>
                </c:pt>
                <c:pt idx="4">
                  <c:v>50.1</c:v>
                </c:pt>
                <c:pt idx="5">
                  <c:v>49.2</c:v>
                </c:pt>
              </c:numCache>
            </c:numRef>
          </c:val>
          <c:smooth val="0"/>
          <c:extLst>
            <c:ext xmlns:c16="http://schemas.microsoft.com/office/drawing/2014/chart" uri="{C3380CC4-5D6E-409C-BE32-E72D297353CC}">
              <c16:uniqueId val="{00000000-130F-45EF-85CF-703CB8111A8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prstDash val="solid"/>
              <a:round/>
            </a:ln>
          </c:spPr>
        </c:dropLines>
        <c:smooth val="0"/>
        <c:axId val="249121823"/>
        <c:axId val="249118943"/>
      </c:lineChart>
      <c:catAx>
        <c:axId val="249121823"/>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spc="30" baseline="0">
                <a:solidFill>
                  <a:schemeClr val="lt1"/>
                </a:solidFill>
                <a:latin typeface="+mn-lt"/>
                <a:ea typeface="+mn-ea"/>
                <a:cs typeface="+mn-cs"/>
              </a:defRPr>
            </a:pPr>
            <a:endParaRPr lang="da-DK"/>
          </a:p>
        </c:txPr>
        <c:crossAx val="249118943"/>
        <c:crosses val="autoZero"/>
        <c:auto val="1"/>
        <c:lblAlgn val="ctr"/>
        <c:lblOffset val="100"/>
        <c:noMultiLvlLbl val="0"/>
      </c:catAx>
      <c:valAx>
        <c:axId val="249118943"/>
        <c:scaling>
          <c:orientation val="minMax"/>
        </c:scaling>
        <c:delete val="1"/>
        <c:axPos val="l"/>
        <c:numFmt formatCode="General" sourceLinked="1"/>
        <c:majorTickMark val="none"/>
        <c:minorTickMark val="none"/>
        <c:tickLblPos val="nextTo"/>
        <c:crossAx val="249121823"/>
        <c:crosses val="autoZero"/>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da-DK"/>
              <a:t>None</a:t>
            </a:r>
          </a:p>
        </c:rich>
      </c:tx>
      <c:overlay val="0"/>
      <c:spPr>
        <a:noFill/>
        <a:ln>
          <a:noFill/>
          <a:prstDash val="solid"/>
        </a:ln>
      </c:spPr>
    </c:title>
    <c:autoTitleDeleted val="0"/>
    <c:plotArea>
      <c:layout/>
      <c:lineChart>
        <c:grouping val="standard"/>
        <c:varyColors val="0"/>
        <c:ser>
          <c:idx val="0"/>
          <c:order val="0"/>
          <c:tx>
            <c:strRef>
              <c:f>PMI!$E$14</c:f>
              <c:strCache>
                <c:ptCount val="1"/>
                <c:pt idx="0">
                  <c:v>Euroområdet PMI</c:v>
                </c:pt>
              </c:strCache>
            </c:strRef>
          </c:tx>
          <c:spPr>
            <a:ln w="25400" cap="rnd">
              <a:solidFill>
                <a:schemeClr val="lt1"/>
              </a:solidFill>
              <a:prstDash val="solid"/>
              <a:round/>
            </a:ln>
          </c:spPr>
          <c:marker>
            <c:symbol val="none"/>
          </c:marker>
          <c:dLbls>
            <c:spPr>
              <a:solidFill>
                <a:schemeClr val="accent1"/>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PMI!$D$15:$D$20</c:f>
              <c:strCache>
                <c:ptCount val="6"/>
                <c:pt idx="0">
                  <c:v>Q1 2024</c:v>
                </c:pt>
                <c:pt idx="1">
                  <c:v>Q2 2024</c:v>
                </c:pt>
                <c:pt idx="2">
                  <c:v>Q3 2024</c:v>
                </c:pt>
                <c:pt idx="3">
                  <c:v>Q4 2024</c:v>
                </c:pt>
                <c:pt idx="4">
                  <c:v>Q1 2025</c:v>
                </c:pt>
                <c:pt idx="5">
                  <c:v>Q2 2025</c:v>
                </c:pt>
              </c:strCache>
            </c:strRef>
          </c:cat>
          <c:val>
            <c:numRef>
              <c:f>PMI!$E$15:$E$20</c:f>
              <c:numCache>
                <c:formatCode>General</c:formatCode>
                <c:ptCount val="6"/>
                <c:pt idx="0">
                  <c:v>49.3</c:v>
                </c:pt>
                <c:pt idx="1">
                  <c:v>49</c:v>
                </c:pt>
                <c:pt idx="2">
                  <c:v>49.5</c:v>
                </c:pt>
                <c:pt idx="3">
                  <c:v>49.9</c:v>
                </c:pt>
                <c:pt idx="4">
                  <c:v>50</c:v>
                </c:pt>
                <c:pt idx="5">
                  <c:v>50</c:v>
                </c:pt>
              </c:numCache>
            </c:numRef>
          </c:val>
          <c:smooth val="0"/>
          <c:extLst>
            <c:ext xmlns:c16="http://schemas.microsoft.com/office/drawing/2014/chart" uri="{C3380CC4-5D6E-409C-BE32-E72D297353CC}">
              <c16:uniqueId val="{00000000-0AE7-4D6A-8D57-94D6175A0A7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prstDash val="solid"/>
              <a:round/>
            </a:ln>
          </c:spPr>
        </c:dropLines>
        <c:smooth val="0"/>
        <c:axId val="1422620400"/>
        <c:axId val="1422618480"/>
      </c:lineChart>
      <c:catAx>
        <c:axId val="1422620400"/>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spc="30" baseline="0">
                <a:solidFill>
                  <a:schemeClr val="lt1"/>
                </a:solidFill>
                <a:latin typeface="+mn-lt"/>
                <a:ea typeface="+mn-ea"/>
                <a:cs typeface="+mn-cs"/>
              </a:defRPr>
            </a:pPr>
            <a:endParaRPr lang="da-DK"/>
          </a:p>
        </c:txPr>
        <c:crossAx val="1422618480"/>
        <c:crosses val="autoZero"/>
        <c:auto val="1"/>
        <c:lblAlgn val="ctr"/>
        <c:lblOffset val="100"/>
        <c:noMultiLvlLbl val="0"/>
      </c:catAx>
      <c:valAx>
        <c:axId val="1422618480"/>
        <c:scaling>
          <c:orientation val="minMax"/>
        </c:scaling>
        <c:delete val="1"/>
        <c:axPos val="l"/>
        <c:numFmt formatCode="General" sourceLinked="1"/>
        <c:majorTickMark val="none"/>
        <c:minorTickMark val="none"/>
        <c:tickLblPos val="nextTo"/>
        <c:crossAx val="1422620400"/>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da-DK"/>
              <a:t>None</a:t>
            </a:r>
          </a:p>
        </c:rich>
      </c:tx>
      <c:overlay val="0"/>
      <c:spPr>
        <a:noFill/>
        <a:ln>
          <a:noFill/>
          <a:prstDash val="solid"/>
        </a:ln>
      </c:spPr>
    </c:title>
    <c:autoTitleDeleted val="0"/>
    <c:plotArea>
      <c:layout/>
      <c:lineChart>
        <c:grouping val="standard"/>
        <c:varyColors val="0"/>
        <c:ser>
          <c:idx val="0"/>
          <c:order val="0"/>
          <c:tx>
            <c:strRef>
              <c:f>PMI!$E$24</c:f>
              <c:strCache>
                <c:ptCount val="1"/>
                <c:pt idx="0">
                  <c:v>Danmark PMI</c:v>
                </c:pt>
              </c:strCache>
            </c:strRef>
          </c:tx>
          <c:spPr>
            <a:ln w="25400" cap="rnd">
              <a:solidFill>
                <a:schemeClr val="lt1"/>
              </a:solidFill>
              <a:prstDash val="solid"/>
              <a:round/>
            </a:ln>
          </c:spPr>
          <c:marker>
            <c:symbol val="none"/>
          </c:marker>
          <c:dLbls>
            <c:spPr>
              <a:solidFill>
                <a:schemeClr val="accent1"/>
              </a:solid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da-D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PMI!$D$25:$D$30</c:f>
              <c:strCache>
                <c:ptCount val="6"/>
                <c:pt idx="0">
                  <c:v>Q1 2024</c:v>
                </c:pt>
                <c:pt idx="1">
                  <c:v>Q2 2024</c:v>
                </c:pt>
                <c:pt idx="2">
                  <c:v>Q3 2024</c:v>
                </c:pt>
                <c:pt idx="3">
                  <c:v>Q4 2024</c:v>
                </c:pt>
                <c:pt idx="4">
                  <c:v>Q1 2025</c:v>
                </c:pt>
                <c:pt idx="5">
                  <c:v>Q2 2025</c:v>
                </c:pt>
              </c:strCache>
            </c:strRef>
          </c:cat>
          <c:val>
            <c:numRef>
              <c:f>PMI!$E$25:$E$30</c:f>
              <c:numCache>
                <c:formatCode>General</c:formatCode>
                <c:ptCount val="6"/>
                <c:pt idx="0">
                  <c:v>48.7</c:v>
                </c:pt>
                <c:pt idx="1">
                  <c:v>47.7</c:v>
                </c:pt>
                <c:pt idx="2">
                  <c:v>47.6</c:v>
                </c:pt>
                <c:pt idx="3">
                  <c:v>48.6</c:v>
                </c:pt>
                <c:pt idx="4">
                  <c:v>50.1</c:v>
                </c:pt>
                <c:pt idx="5">
                  <c:v>49.2</c:v>
                </c:pt>
              </c:numCache>
            </c:numRef>
          </c:val>
          <c:smooth val="0"/>
          <c:extLst>
            <c:ext xmlns:c16="http://schemas.microsoft.com/office/drawing/2014/chart" uri="{C3380CC4-5D6E-409C-BE32-E72D297353CC}">
              <c16:uniqueId val="{00000000-E02C-4F06-919A-1B02DA7691D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prstDash val="solid"/>
              <a:round/>
            </a:ln>
          </c:spPr>
        </c:dropLines>
        <c:smooth val="0"/>
        <c:axId val="1419374672"/>
        <c:axId val="1102754656"/>
      </c:lineChart>
      <c:catAx>
        <c:axId val="1419374672"/>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spc="30" baseline="0">
                <a:solidFill>
                  <a:schemeClr val="lt1"/>
                </a:solidFill>
                <a:latin typeface="+mn-lt"/>
                <a:ea typeface="+mn-ea"/>
                <a:cs typeface="+mn-cs"/>
              </a:defRPr>
            </a:pPr>
            <a:endParaRPr lang="da-DK"/>
          </a:p>
        </c:txPr>
        <c:crossAx val="1102754656"/>
        <c:crosses val="autoZero"/>
        <c:auto val="1"/>
        <c:lblAlgn val="ctr"/>
        <c:lblOffset val="100"/>
        <c:noMultiLvlLbl val="0"/>
      </c:catAx>
      <c:valAx>
        <c:axId val="1102754656"/>
        <c:scaling>
          <c:orientation val="minMax"/>
        </c:scaling>
        <c:delete val="1"/>
        <c:axPos val="l"/>
        <c:numFmt formatCode="General" sourceLinked="1"/>
        <c:majorTickMark val="none"/>
        <c:minorTickMark val="none"/>
        <c:tickLblPos val="nextTo"/>
        <c:crossAx val="1419374672"/>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8.0481301302305366E-2"/>
          <c:y val="0.16258977357774676"/>
          <c:w val="0.90213265041710555"/>
          <c:h val="0.80563897940080764"/>
        </c:manualLayout>
      </c:layout>
      <c:barChart>
        <c:barDir val="col"/>
        <c:grouping val="clustered"/>
        <c:varyColors val="0"/>
        <c:ser>
          <c:idx val="0"/>
          <c:order val="0"/>
          <c:tx>
            <c:strRef>
              <c:f>'Afstemning til Virkelighed'!$B$1</c:f>
              <c:strCache>
                <c:ptCount val="1"/>
                <c:pt idx="0">
                  <c:v>Gennemsnitlig makroscore*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'Afstemning til Virkelighed'!$A$2:$A$12</c:f>
              <c:strCache>
                <c:ptCount val="11"/>
                <c:pt idx="0">
                  <c:v>Information Technology</c:v>
                </c:pt>
                <c:pt idx="1">
                  <c:v>Energy</c:v>
                </c:pt>
                <c:pt idx="2">
                  <c:v>Industrials</c:v>
                </c:pt>
                <c:pt idx="3">
                  <c:v>Communications Services</c:v>
                </c:pt>
                <c:pt idx="4">
                  <c:v>Financials</c:v>
                </c:pt>
                <c:pt idx="5">
                  <c:v>Real Estate</c:v>
                </c:pt>
                <c:pt idx="6">
                  <c:v>Consumer Discretionary</c:v>
                </c:pt>
                <c:pt idx="7">
                  <c:v>Materials</c:v>
                </c:pt>
                <c:pt idx="8">
                  <c:v>Utilities</c:v>
                </c:pt>
                <c:pt idx="9">
                  <c:v>Health Care</c:v>
                </c:pt>
                <c:pt idx="10">
                  <c:v>Consumer Staples</c:v>
                </c:pt>
              </c:strCache>
            </c:strRef>
          </c:cat>
          <c:val>
            <c:numRef>
              <c:f>'Afstemning til Virkelighed'!$B$2:$B$12</c:f>
              <c:numCache>
                <c:formatCode>General</c:formatCode>
                <c:ptCount val="11"/>
                <c:pt idx="0">
                  <c:v>3.76</c:v>
                </c:pt>
                <c:pt idx="1">
                  <c:v>3.66</c:v>
                </c:pt>
                <c:pt idx="2">
                  <c:v>3.54</c:v>
                </c:pt>
                <c:pt idx="3">
                  <c:v>3.38</c:v>
                </c:pt>
                <c:pt idx="4">
                  <c:v>3.34</c:v>
                </c:pt>
                <c:pt idx="5">
                  <c:v>3.2</c:v>
                </c:pt>
                <c:pt idx="6">
                  <c:v>3.15</c:v>
                </c:pt>
                <c:pt idx="7">
                  <c:v>2.88</c:v>
                </c:pt>
                <c:pt idx="8">
                  <c:v>2.85</c:v>
                </c:pt>
                <c:pt idx="9">
                  <c:v>2.81</c:v>
                </c:pt>
                <c:pt idx="10">
                  <c:v>2.79</c:v>
                </c:pt>
              </c:numCache>
            </c:numRef>
          </c:val>
          <c:extLst>
            <c:ext xmlns:c16="http://schemas.microsoft.com/office/drawing/2014/chart" uri="{C3380CC4-5D6E-409C-BE32-E72D297353CC}">
              <c16:uniqueId val="{00000000-A815-4C87-97B1-C5C48195FD20}"/>
            </c:ext>
          </c:extLst>
        </c:ser>
        <c:ser>
          <c:idx val="1"/>
          <c:order val="1"/>
          <c:tx>
            <c:strRef>
              <c:f>'Afstemning til Virkelighed'!$C$1</c:f>
              <c:strCache>
                <c:ptCount val="1"/>
                <c:pt idx="0">
                  <c:v>Q3‑afkast (1/7‑29/7 2025)</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'Afstemning til Virkelighed'!$A$2:$A$12</c:f>
              <c:strCache>
                <c:ptCount val="11"/>
                <c:pt idx="0">
                  <c:v>Information Technology</c:v>
                </c:pt>
                <c:pt idx="1">
                  <c:v>Energy</c:v>
                </c:pt>
                <c:pt idx="2">
                  <c:v>Industrials</c:v>
                </c:pt>
                <c:pt idx="3">
                  <c:v>Communications Services</c:v>
                </c:pt>
                <c:pt idx="4">
                  <c:v>Financials</c:v>
                </c:pt>
                <c:pt idx="5">
                  <c:v>Real Estate</c:v>
                </c:pt>
                <c:pt idx="6">
                  <c:v>Consumer Discretionary</c:v>
                </c:pt>
                <c:pt idx="7">
                  <c:v>Materials</c:v>
                </c:pt>
                <c:pt idx="8">
                  <c:v>Utilities</c:v>
                </c:pt>
                <c:pt idx="9">
                  <c:v>Health Care</c:v>
                </c:pt>
                <c:pt idx="10">
                  <c:v>Consumer Staples</c:v>
                </c:pt>
              </c:strCache>
            </c:strRef>
          </c:cat>
          <c:val>
            <c:numRef>
              <c:f>'Afstemning til Virkelighed'!$C$2:$C$12</c:f>
              <c:numCache>
                <c:formatCode>_(* #,##0.00_);_(* \(#,##0.00\);_(* "-"??_);_(@_)</c:formatCode>
                <c:ptCount val="11"/>
                <c:pt idx="0">
                  <c:v>5.23</c:v>
                </c:pt>
                <c:pt idx="1">
                  <c:v>4.08</c:v>
                </c:pt>
                <c:pt idx="2">
                  <c:v>3.2</c:v>
                </c:pt>
                <c:pt idx="3">
                  <c:v>-1.52</c:v>
                </c:pt>
                <c:pt idx="4">
                  <c:v>0.27</c:v>
                </c:pt>
                <c:pt idx="5">
                  <c:v>2.52</c:v>
                </c:pt>
                <c:pt idx="6">
                  <c:v>2.91</c:v>
                </c:pt>
                <c:pt idx="7">
                  <c:v>0.67</c:v>
                </c:pt>
                <c:pt idx="8">
                  <c:v>3.22</c:v>
                </c:pt>
                <c:pt idx="9">
                  <c:v>-1.67</c:v>
                </c:pt>
                <c:pt idx="10">
                  <c:v>-0.96</c:v>
                </c:pt>
              </c:numCache>
            </c:numRef>
          </c:val>
          <c:extLst>
            <c:ext xmlns:c16="http://schemas.microsoft.com/office/drawing/2014/chart" uri="{C3380CC4-5D6E-409C-BE32-E72D297353CC}">
              <c16:uniqueId val="{00000001-A815-4C87-97B1-C5C48195FD20}"/>
            </c:ext>
          </c:extLst>
        </c:ser>
        <c:dLbls>
          <c:dLblPos val="outEnd"/>
          <c:showLegendKey val="0"/>
          <c:showVal val="1"/>
          <c:showCatName val="0"/>
          <c:showSerName val="0"/>
          <c:showPercent val="0"/>
          <c:showBubbleSize val="0"/>
        </c:dLbls>
        <c:gapWidth val="444"/>
        <c:overlap val="-90"/>
        <c:axId val="1877120575"/>
        <c:axId val="1877119135"/>
      </c:barChart>
      <c:catAx>
        <c:axId val="1877120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da-DK"/>
          </a:p>
        </c:txPr>
        <c:crossAx val="1877119135"/>
        <c:crosses val="autoZero"/>
        <c:auto val="1"/>
        <c:lblAlgn val="ctr"/>
        <c:lblOffset val="100"/>
        <c:noMultiLvlLbl val="0"/>
      </c:catAx>
      <c:valAx>
        <c:axId val="1877119135"/>
        <c:scaling>
          <c:orientation val="minMax"/>
        </c:scaling>
        <c:delete val="1"/>
        <c:axPos val="l"/>
        <c:numFmt formatCode="General" sourceLinked="1"/>
        <c:majorTickMark val="none"/>
        <c:minorTickMark val="none"/>
        <c:tickLblPos val="nextTo"/>
        <c:crossAx val="1877120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433250</xdr:colOff>
      <xdr:row>1</xdr:row>
      <xdr:rowOff>76200</xdr:rowOff>
    </xdr:from>
    <xdr:to>
      <xdr:col>25</xdr:col>
      <xdr:colOff>548640</xdr:colOff>
      <xdr:row>26</xdr:row>
      <xdr:rowOff>60960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363069</xdr:colOff>
      <xdr:row>42</xdr:row>
      <xdr:rowOff>147918</xdr:rowOff>
    </xdr:from>
    <xdr:to>
      <xdr:col>26</xdr:col>
      <xdr:colOff>385482</xdr:colOff>
      <xdr:row>65</xdr:row>
      <xdr:rowOff>125506</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239484</xdr:colOff>
      <xdr:row>82</xdr:row>
      <xdr:rowOff>119743</xdr:rowOff>
    </xdr:from>
    <xdr:to>
      <xdr:col>26</xdr:col>
      <xdr:colOff>522513</xdr:colOff>
      <xdr:row>106</xdr:row>
      <xdr:rowOff>32658</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522514</xdr:colOff>
      <xdr:row>1</xdr:row>
      <xdr:rowOff>65314</xdr:rowOff>
    </xdr:from>
    <xdr:to>
      <xdr:col>61</xdr:col>
      <xdr:colOff>304799</xdr:colOff>
      <xdr:row>25</xdr:row>
      <xdr:rowOff>152400</xdr:rowOff>
    </xdr:to>
    <xdr:graphicFrame macro="">
      <xdr:nvGraphicFramePr>
        <xdr:cNvPr id="2" name="Chart 1">
          <a:extLst>
            <a:ext uri="{FF2B5EF4-FFF2-40B4-BE49-F238E27FC236}">
              <a16:creationId xmlns:a16="http://schemas.microsoft.com/office/drawing/2014/main" id="{6B6F0DCC-0D78-4F4E-8D30-166D9E9A3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63</xdr:col>
      <xdr:colOff>433250</xdr:colOff>
      <xdr:row>1</xdr:row>
      <xdr:rowOff>76200</xdr:rowOff>
    </xdr:from>
    <xdr:to>
      <xdr:col>87</xdr:col>
      <xdr:colOff>548640</xdr:colOff>
      <xdr:row>26</xdr:row>
      <xdr:rowOff>60960</xdr:rowOff>
    </xdr:to>
    <xdr:graphicFrame macro="">
      <xdr:nvGraphicFramePr>
        <xdr:cNvPr id="3" name="Chart 2">
          <a:extLst>
            <a:ext uri="{FF2B5EF4-FFF2-40B4-BE49-F238E27FC236}">
              <a16:creationId xmlns:a16="http://schemas.microsoft.com/office/drawing/2014/main" id="{14EA8157-8D19-4B90-8B20-B79BEBE57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40342</xdr:colOff>
      <xdr:row>42</xdr:row>
      <xdr:rowOff>121023</xdr:rowOff>
    </xdr:from>
    <xdr:to>
      <xdr:col>61</xdr:col>
      <xdr:colOff>421343</xdr:colOff>
      <xdr:row>66</xdr:row>
      <xdr:rowOff>35859</xdr:rowOff>
    </xdr:to>
    <xdr:graphicFrame macro="">
      <xdr:nvGraphicFramePr>
        <xdr:cNvPr id="4" name="Chart 3">
          <a:extLst>
            <a:ext uri="{FF2B5EF4-FFF2-40B4-BE49-F238E27FC236}">
              <a16:creationId xmlns:a16="http://schemas.microsoft.com/office/drawing/2014/main" id="{9D27F651-A141-4FC2-8EAD-CEE2B9A9F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63</xdr:col>
      <xdr:colOff>363069</xdr:colOff>
      <xdr:row>42</xdr:row>
      <xdr:rowOff>147918</xdr:rowOff>
    </xdr:from>
    <xdr:to>
      <xdr:col>88</xdr:col>
      <xdr:colOff>385482</xdr:colOff>
      <xdr:row>65</xdr:row>
      <xdr:rowOff>125506</xdr:rowOff>
    </xdr:to>
    <xdr:graphicFrame macro="">
      <xdr:nvGraphicFramePr>
        <xdr:cNvPr id="5" name="Chart 4">
          <a:extLst>
            <a:ext uri="{FF2B5EF4-FFF2-40B4-BE49-F238E27FC236}">
              <a16:creationId xmlns:a16="http://schemas.microsoft.com/office/drawing/2014/main" id="{2479F86A-4520-451E-BD04-80B768B72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65314</xdr:colOff>
      <xdr:row>82</xdr:row>
      <xdr:rowOff>43542</xdr:rowOff>
    </xdr:from>
    <xdr:to>
      <xdr:col>61</xdr:col>
      <xdr:colOff>533399</xdr:colOff>
      <xdr:row>106</xdr:row>
      <xdr:rowOff>130629</xdr:rowOff>
    </xdr:to>
    <xdr:graphicFrame macro="">
      <xdr:nvGraphicFramePr>
        <xdr:cNvPr id="6" name="Chart 5">
          <a:extLst>
            <a:ext uri="{FF2B5EF4-FFF2-40B4-BE49-F238E27FC236}">
              <a16:creationId xmlns:a16="http://schemas.microsoft.com/office/drawing/2014/main" id="{74614977-C468-4B18-9214-703714536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63</xdr:col>
      <xdr:colOff>239484</xdr:colOff>
      <xdr:row>82</xdr:row>
      <xdr:rowOff>119743</xdr:rowOff>
    </xdr:from>
    <xdr:to>
      <xdr:col>88</xdr:col>
      <xdr:colOff>522513</xdr:colOff>
      <xdr:row>106</xdr:row>
      <xdr:rowOff>32658</xdr:rowOff>
    </xdr:to>
    <xdr:graphicFrame macro="">
      <xdr:nvGraphicFramePr>
        <xdr:cNvPr id="7" name="Chart 6">
          <a:extLst>
            <a:ext uri="{FF2B5EF4-FFF2-40B4-BE49-F238E27FC236}">
              <a16:creationId xmlns:a16="http://schemas.microsoft.com/office/drawing/2014/main" id="{5D1C1B3C-A092-49D8-AAB1-FA71F97A9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594360</xdr:colOff>
      <xdr:row>0</xdr:row>
      <xdr:rowOff>106680</xdr:rowOff>
    </xdr:from>
    <xdr:to>
      <xdr:col>15</xdr:col>
      <xdr:colOff>289560</xdr:colOff>
      <xdr:row>15</xdr:row>
      <xdr:rowOff>106680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15</xdr:row>
      <xdr:rowOff>163830</xdr:rowOff>
    </xdr:from>
    <xdr:to>
      <xdr:col>15</xdr:col>
      <xdr:colOff>312420</xdr:colOff>
      <xdr:row>30</xdr:row>
      <xdr:rowOff>163830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31</xdr:row>
      <xdr:rowOff>57150</xdr:rowOff>
    </xdr:from>
    <xdr:to>
      <xdr:col>15</xdr:col>
      <xdr:colOff>327660</xdr:colOff>
      <xdr:row>46</xdr:row>
      <xdr:rowOff>57150</xdr:rowOff>
    </xdr:to>
    <xdr:graphicFrame macro="">
      <xdr:nvGraphicFramePr>
        <xdr:cNvPr id="4" name="Chart 3">
          <a:extLst>
            <a:ext uri="{FF2B5EF4-FFF2-40B4-BE49-F238E27FC236}">
              <a16:creationId xmlns:a16="http://schemas.microsoft.com/office/drawing/2014/main" id="{00000000-0008-0000-0F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12</xdr:row>
      <xdr:rowOff>72390</xdr:rowOff>
    </xdr:from>
    <xdr:to>
      <xdr:col>3</xdr:col>
      <xdr:colOff>4831080</xdr:colOff>
      <xdr:row>38</xdr:row>
      <xdr:rowOff>114300</xdr:rowOff>
    </xdr:to>
    <xdr:graphicFrame macro="">
      <xdr:nvGraphicFramePr>
        <xdr:cNvPr id="4" name="Diagram 3">
          <a:extLst>
            <a:ext uri="{FF2B5EF4-FFF2-40B4-BE49-F238E27FC236}">
              <a16:creationId xmlns:a16="http://schemas.microsoft.com/office/drawing/2014/main" id="{E10AFF73-5A3C-8FB0-3F96-5DCE246CE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81">
  <rv s="0">
    <v>https://www.bing.com/financeapi/forcetrigger?t=adzbvh&amp;q=XCSE%3aCARL+B&amp;form=skydnc</v>
    <v>Learn more on Bing</v>
  </rv>
  <rv s="1">
    <v>en-US</v>
    <v>adzbvh</v>
    <v>268435456</v>
    <v>1</v>
    <v>Powered by Refinitiv</v>
    <v>0</v>
    <v>Carlsberg A/S (XCSE:CARL B)</v>
    <v>2</v>
    <v>3</v>
    <v>Finance</v>
    <v>4</v>
    <v>1190.5</v>
    <v>650.79999999999995</v>
    <v>0.35949999999999999</v>
    <v>-18</v>
    <v>-1.7734E-2</v>
    <v>DKK</v>
    <v>Carlsberg A/S is a Denmark-based company active within the brewing industry. It is primarily engaged in the production, marketing and sale of beer and soft drinks. The Company’s beer portfolio spans core beer brands, craft &amp; speciality brands and alcohol-free brews.Its operations are divided in geographical segments: Western Europe, Asia and Eastern &amp; Central Europe. The Company is also present in a number of markets where it does not operate its own breweries, through license business and export.</v>
    <v>36964</v>
    <v>Nasdaq Copenhagen</v>
    <v>XCSE</v>
    <v>XCSE</v>
    <v>J.C. Jacobsens Gade 1, Copenhagen V, 1799 DK</v>
    <v>1011</v>
    <v>Beverages</v>
    <v>Stock</v>
    <v>46066.680555555555</v>
    <v>0</v>
    <v>992.2</v>
    <v>116506900000</v>
    <v>Carlsberg A/S</v>
    <v>Carlsberg A/S</v>
    <v>1005</v>
    <v>19.82</v>
    <v>1015</v>
    <v>997</v>
    <v>132656800</v>
    <v>CARL B</v>
    <v>Carlsberg A/S (XCSE:CARL B)</v>
    <v>341457</v>
    <v>297320</v>
    <v>1900</v>
  </rv>
  <rv s="2">
    <v>1</v>
  </rv>
  <rv s="0">
    <v>https://www.bing.com/financeapi/forcetrigger?t=adzjec&amp;q=XCSE%3aPNDORA&amp;form=skydnc</v>
    <v>Learn more on Bing</v>
  </rv>
  <rv s="1">
    <v>en-US</v>
    <v>adzjec</v>
    <v>268435456</v>
    <v>1</v>
    <v>Powered by Refinitiv</v>
    <v>0</v>
    <v>Pandora A/S (XCSE:PNDORA)</v>
    <v>2</v>
    <v>3</v>
    <v>Finance</v>
    <v>4</v>
    <v>1415</v>
    <v>179.9</v>
    <v>0.96109999999999995</v>
    <v>3.2</v>
    <v>5.9630000000000004E-3</v>
    <v>DKK</v>
    <v>Pandora A/S is a Denmark-based company engaged in the design, manufacture and marketing of jewelry. Its product offering is divided into five categories: charms and bracelets, earrings, rings, watches, and necklaces and pendants, among others. Its products are made of gold, silver, leather and textile, among others. The Company’s products are sold globally through such points of sale, as concept stores, shop-in-shops, gold stores, silver stores, white and travel retail stores, third party stores and a number of unbranded boutiques. The Company is present in more than 70 countries in such geographical regions, as Europe, the Middle East, Africa, North America, South and Central America and Asia Pacific.</v>
    <v>42281</v>
    <v>Nasdaq Copenhagen</v>
    <v>XCSE</v>
    <v>XCSE</v>
    <v>Havneholmen 17 - 19, KOEBENHAVN V, DENMARK-NA, 1561 DK</v>
    <v>550.4</v>
    <v>Textiles &amp; Apparel</v>
    <v>Stock</v>
    <v>46066.680555555555</v>
    <v>3</v>
    <v>531</v>
    <v>45188000000</v>
    <v>Pandora A/S</v>
    <v>Pandora A/S</v>
    <v>538.4</v>
    <v>7.85</v>
    <v>536.6</v>
    <v>539.79999999999995</v>
    <v>79000000</v>
    <v>PNDORA</v>
    <v>Pandora A/S (XCSE:PNDORA)</v>
    <v>334337</v>
    <v>819750</v>
    <v>2005</v>
  </rv>
  <rv s="2">
    <v>4</v>
  </rv>
  <rv s="0">
    <v>https://www.bing.com/financeapi/forcetrigger?t=adzjpr&amp;q=XCSE%3aRBREW&amp;form=skydnc</v>
    <v>Learn more on Bing</v>
  </rv>
  <rv s="1">
    <v>en-US</v>
    <v>adzjpr</v>
    <v>268435456</v>
    <v>1</v>
    <v>Powered by Refinitiv</v>
    <v>0</v>
    <v>Royal Unibrew A/S (XCSE:RBREW)</v>
    <v>2</v>
    <v>3</v>
    <v>Finance</v>
    <v>4</v>
    <v>858</v>
    <v>338.1</v>
    <v>0.3624</v>
    <v>-5.5</v>
    <v>-8.539999999999999E-3</v>
    <v>DKK</v>
    <v>Royal Unibrew A/S is a Denmark based company that produces, markets, sells and distributes beverages. It focuses on branded products within beer, malt beverages and soft drinks as well as ciders and long drinks. The Company operates through three geographical segments: Western Europe, including Denmark, Germany, Italy and France; Baltic Sea, covering Finland, Lithuania, Latvia and Estonia; and International, which export and license business to international markets outside Denmark, Finland, Italy, France and the Baltic countries. The Company’s products offering includes local, national and international brands, and also license-based international brands of the PepsiCo and Heineken Groups. The Company is primarily active in Europe and in the international malt beverage markets.</v>
    <v>4240</v>
    <v>Nasdaq Copenhagen</v>
    <v>XCSE</v>
    <v>XCSE</v>
    <v>Faxe Alle 1, FAKSE, 4640 DK</v>
    <v>644.5</v>
    <v>Beverages</v>
    <v>Stock</v>
    <v>46066.680555555555</v>
    <v>6</v>
    <v>633.5</v>
    <v>28865000000</v>
    <v>Royal Unibrew A/S</v>
    <v>Royal Unibrew A/S</v>
    <v>643</v>
    <v>22.08</v>
    <v>644</v>
    <v>638.5</v>
    <v>50200000</v>
    <v>RBREW</v>
    <v>Royal Unibrew A/S (XCSE:RBREW)</v>
    <v>67871</v>
    <v>73360</v>
    <v>1983</v>
  </rv>
  <rv s="2">
    <v>7</v>
  </rv>
  <rv s="0">
    <v>https://www.bing.com/financeapi/forcetrigger?t=adzj2w&amp;q=XCSE%3aORSTED&amp;form=skydnc</v>
    <v>Learn more on Bing</v>
  </rv>
  <rv s="1">
    <v>en-US</v>
    <v>adzj2w</v>
    <v>268435456</v>
    <v>1</v>
    <v>Powered by Refinitiv</v>
    <v>0</v>
    <v>Oersted A/S (XCSE:ORSTED)</v>
    <v>2</v>
    <v>3</v>
    <v>Finance</v>
    <v>4</v>
    <v>1400.5</v>
    <v>103.8</v>
    <v>0.53900000000000003</v>
    <v>0.4</v>
    <v>2.7329999999999998E-3</v>
    <v>DKK</v>
    <v>Oersted A/S, formerly Dong Energy A/S, is a Denmark-based energy company engaged in procuring, producing, distributing and trading energy and related products in Northwestern Europe. The Company operates through three segments: Wind Power, engaged in the development, construction and operations of wind farms; Bioenergy and Thermal Power, responsible for the generation of electricity and heat from thermal power stations; and Distribution and Customer Solutions, responsible for the purchase, sale and distribution of energy. The Company's competences are aimed at three core activities: development and construction of assets, operations and maintenance of assets, and sales and optimization of the energy commodities portfolio.</v>
    <v>7896</v>
    <v>Nasdaq Copenhagen</v>
    <v>XCSE</v>
    <v>XCSE</v>
    <v>Kraftvaerksvej 53, Skaerbaek, FREDERICIA, DENMARK-NA, 7000 DK</v>
    <v>148.65</v>
    <v>Electrical Utilities &amp; IPPs</v>
    <v>Stock</v>
    <v>46066.680555555555</v>
    <v>9</v>
    <v>143.19999999999999</v>
    <v>177833200000</v>
    <v>Oersted A/S</v>
    <v>Oersted A/S</v>
    <v>144.69999999999999</v>
    <v>47.71</v>
    <v>146.35</v>
    <v>146.75</v>
    <v>1321198000</v>
    <v>ORSTED</v>
    <v>Oersted A/S (XCSE:ORSTED)</v>
    <v>1143654</v>
    <v>1607860</v>
    <v>1972</v>
  </rv>
  <rv s="2">
    <v>10</v>
  </rv>
  <rv s="0">
    <v>https://www.bing.com/financeapi/forcetrigger?t=adzcrw&amp;q=XCSE%3aDANSKE&amp;form=skydnc</v>
    <v>Learn more on Bing</v>
  </rv>
  <rv s="1">
    <v>en-US</v>
    <v>adzcrw</v>
    <v>268435456</v>
    <v>1</v>
    <v>Powered by Refinitiv</v>
    <v>0</v>
    <v>Danske Bank A/S (XCSE:DANSKE)</v>
    <v>2</v>
    <v>3</v>
    <v>Finance</v>
    <v>4</v>
    <v>347.2</v>
    <v>68.040000000000006</v>
    <v>0.40960000000000002</v>
    <v>-11.9</v>
    <v>-3.5228000000000002E-2</v>
    <v>DKK</v>
    <v>Danske Bank A/S is engaged in providing payment services, trading in securities and other instruments, depositing of surplus liquidity and provision of short- and long-term financing. Its segments include Personal Banking, Business Banking, Corporates &amp; Institutions, Wealth Management, Northern Ireland, Non-core and Other Activities. The Personal Banking segment provides personal advice that addresses its customers' individual needs. The Business Banking segment offers solutions within financing, investing, cash management and risk management. The Corporates &amp; Institutions segment provides strategic advice, financial solutions and products. The Wealth Management segment offers a range of products and services within pension savings and wealth and asset management. The Northern Ireland segment serves personal and business customers. The Non-core segment consists of loans to customers in Ireland. The Bank's Other Activities include its treasury and support functions.</v>
    <v>20026</v>
    <v>Nasdaq Copenhagen</v>
    <v>XCSE</v>
    <v>XCSE</v>
    <v>Bernstorffsgade 40, KOEBENHAVN V, DENMARK-NA, 1577 DK</v>
    <v>337</v>
    <v>Banking Services</v>
    <v>Stock</v>
    <v>46066.680555555555</v>
    <v>12</v>
    <v>323.2</v>
    <v>266697400000</v>
    <v>Danske Bank A/S</v>
    <v>Danske Bank A/S</v>
    <v>336.5</v>
    <v>12.08</v>
    <v>337.8</v>
    <v>325.89999999999998</v>
    <v>834995100</v>
    <v>DANSKE</v>
    <v>Danske Bank A/S (XCSE:DANSKE)</v>
    <v>1064388</v>
    <v>1186950</v>
    <v>1900</v>
  </rv>
  <rv s="2">
    <v>13</v>
  </rv>
  <rv s="0">
    <v>https://www.bing.com/financeapi/forcetrigger?t=adzmf2&amp;q=XCSE%3aTRYG&amp;form=skydnc</v>
    <v>Learn more on Bing</v>
  </rv>
  <rv s="1">
    <v>en-US</v>
    <v>adzmf2</v>
    <v>268435456</v>
    <v>1</v>
    <v>Powered by Refinitiv</v>
    <v>0</v>
    <v>Tryg A/S (XCSE:TRYG)</v>
    <v>2</v>
    <v>3</v>
    <v>Finance</v>
    <v>4</v>
    <v>226.2</v>
    <v>125.4</v>
    <v>0.26929999999999998</v>
    <v>0.4</v>
    <v>2.6329999999999999E-3</v>
    <v>DKK</v>
    <v>Tryg A/S, formerly TrygVesta A/S, is a Denmark-based insurance company. It is the parent company within the Tryg Group (the Group), which supplies insurance services in the Nordic countries. The Company is organized in four business areas, namely Private, Commercial, Industry and Sweden. Private sells insurance products to private individuals in Denmark and Norway. Commercial sells insurance products to small and medium-sized companies in Denmark and Norway. Industry sells insurance products to industrial customers under the Tryg brand in Denmark and Norway and the Moderna brand in Sweden. Sweden sells insurance products to private individuals in Sweden under the Moderna brand name. Tryg A/S manages the Group's branch and subsidiary portfolio through a Danish company Tryg Forsikring A/S.</v>
    <v>6732</v>
    <v>Nasdaq Copenhagen</v>
    <v>XCSE</v>
    <v>XCSE</v>
    <v>Klausdalsbrovej 601, BALLERUP, 2750 DK</v>
    <v>153</v>
    <v>Insurance</v>
    <v>Stock</v>
    <v>46066.680555555555</v>
    <v>15</v>
    <v>151.1</v>
    <v>97391930000</v>
    <v>Tryg A/S</v>
    <v>Tryg A/S</v>
    <v>152</v>
    <v>17.190000000000001</v>
    <v>151.9</v>
    <v>152.30000000000001</v>
    <v>611374300</v>
    <v>TRYG</v>
    <v>Tryg A/S (XCSE:TRYG)</v>
    <v>1244419</v>
    <v>1007020</v>
    <v>2002</v>
  </rv>
  <rv s="2">
    <v>16</v>
  </rv>
  <rv s="0">
    <v>http://en.wikipedia.org/wiki/Public_domain</v>
    <v>Public domain</v>
  </rv>
  <rv s="0">
    <v>http://en.wikipedia.org/wiki/Nordea</v>
    <v>Wikipedia</v>
  </rv>
  <rv s="3">
    <v>18</v>
    <v>19</v>
  </rv>
  <rv s="4">
    <v>9</v>
    <v>https://www.bing.com/th?id=AMMS_9017a1ff3a3435de85432437a701323f&amp;qlt=95</v>
    <v>20</v>
    <v>0</v>
    <v>https://www.bing.com/images/search?form=xlimg&amp;q=nordea</v>
    <v>Image of Nordea Bank Abp</v>
  </rv>
  <rv s="0">
    <v>https://www.bing.com/financeapi/forcetrigger?t=amwyc7&amp;q=XSTO%3aNDA+SE&amp;form=skydnc</v>
    <v>Learn more on Bing</v>
  </rv>
  <rv s="5">
    <v>en-US</v>
    <v>amwyc7</v>
    <v>268435456</v>
    <v>1</v>
    <v>Powered by Refinitiv</v>
    <v>5</v>
    <v>Nordea Bank Abp (XSTO:NDA SE)</v>
    <v>7</v>
    <v>8</v>
    <v>Finance</v>
    <v>4</v>
    <v>181.25</v>
    <v>48.05</v>
    <v>1.0309999999999999</v>
    <v>-2.5499999999999998</v>
    <v>-1.4643E-2</v>
    <v>SEK</v>
    <v>Nordea Bank Abp is a Finland-based universal bank. The Bank operates within four business areas, such as Personal Banking, Business Banking, Large Corporates &amp; Institutions and Asset &amp; Wealth Management. Personal Banking provides services and solutions for the Bank's household customers in the Nordic markets. Business Banking serves small, mid-sized and big corporate customers in Scandinavia. Its business area also houses the unit Transaction Banking which manages card services for all Nordea’s customers. Large Corporates &amp; Institutions provides financial solutions to big Nordic and international corporations The international network offers services to customers within shipping, offshore, oil, corporate &amp; investment banking and commercial banking. Asset &amp; Wealth Management is the area within Nordea that offers savings and investment products and manages customers’ accumulated wealth.</v>
    <v>28989</v>
    <v>NASDAQ Stockholm</v>
    <v>XSTO</v>
    <v>XSTO</v>
    <v>Hamnbanegatan 5, HELSINKI, ETELA-SUOMEN, 00020 FI</v>
    <v>175</v>
    <v>21</v>
    <v>Banking Services</v>
    <v>Stock</v>
    <v>46066.708333333336</v>
    <v>22</v>
    <v>170.2</v>
    <v>56727060000</v>
    <v>Nordea Bank Abp</v>
    <v>Nordea Bank Abp</v>
    <v>174.3</v>
    <v>11.51</v>
    <v>174.15</v>
    <v>171.6</v>
    <v>3427653000</v>
    <v>NDA SE</v>
    <v>Nordea Bank Abp (XSTO:NDA SE)</v>
    <v>4606418</v>
    <v>5815970</v>
    <v>2017</v>
  </rv>
  <rv s="2">
    <v>23</v>
  </rv>
  <rv s="0">
    <v>https://www.bing.com/financeapi/forcetrigger?t=adzgm7&amp;q=XCSE%3aJYSK&amp;form=skydnc</v>
    <v>Learn more on Bing</v>
  </rv>
  <rv s="6">
    <v>en-US</v>
    <v>adzgm7</v>
    <v>268435456</v>
    <v>1</v>
    <v>Powered by Refinitiv</v>
    <v>10</v>
    <v>Jyske Bank A/S (XCSE:JYSK)</v>
    <v>2</v>
    <v>11</v>
    <v>Finance</v>
    <v>4</v>
    <v>0.3498</v>
    <v>-26</v>
    <v>-2.7111999999999997E-2</v>
    <v>DKK</v>
    <v>Jyske Bank A/S is a Denmark-based banking group that includes mortgage lender Jyske Realkredit and other subsidiaries. The Group offers a diverse set of financial services including banking, insurance, mortgage, asset management, brokerage, credit card, and leasing services. The Company operates throughout Denmark and serves private individuals, companies, institutions, and the public sector. It reports three segments: Banking, Mortgage and Leasing. The Banking segment comprises personal advisory services, financial solutions, and financing activities aimed at Danish private and corporate customers, and public institutions. The Mortgage segment consists of financial solutions for the financing of real property. The Leasing segment covers car financing and equipment financing for the corporate sector, among others.</v>
    <v>3817</v>
    <v>Nasdaq Copenhagen</v>
    <v>XCSE</v>
    <v>XCSE</v>
    <v>Vestergade 8-16, SILKEBORG, DENMARK-NA, 8600 DK</v>
    <v>960.5</v>
    <v>Banking Services</v>
    <v>Stock</v>
    <v>46066.680555555555</v>
    <v>25</v>
    <v>927.5</v>
    <v>54341410000</v>
    <v>Jyske Bank A/S</v>
    <v>Jyske Bank A/S</v>
    <v>957.5</v>
    <v>11.33</v>
    <v>959</v>
    <v>933</v>
    <v>61506980</v>
    <v>JYSK</v>
    <v>Jyske Bank A/S (XCSE:JYSK)</v>
    <v>107726</v>
    <v>103690</v>
    <v>1917</v>
  </rv>
  <rv s="2">
    <v>26</v>
  </rv>
  <rv s="0">
    <v>https://www.bing.com/financeapi/forcetrigger?t=adzlu2&amp;q=XCSE%3aSYDB&amp;form=skydnc</v>
    <v>Learn more on Bing</v>
  </rv>
  <rv s="1">
    <v>en-US</v>
    <v>adzlu2</v>
    <v>268435456</v>
    <v>1</v>
    <v>Powered by Refinitiv</v>
    <v>0</v>
    <v>AL Sydbank A/S (XCSE:ALSYDB)</v>
    <v>2</v>
    <v>3</v>
    <v>Finance</v>
    <v>4</v>
    <v>590</v>
    <v>83.1</v>
    <v>0.41160000000000002</v>
    <v>-19</v>
    <v>-3.5217999999999999E-2</v>
    <v>DKK</v>
    <v>AL Sydbank A/S, formerly Sydbank A/S is a Denmark-based full-service corporate and advisory bank. The Bank's customer portfolio can be divided into such segments as: corporate customers, Private Banking and retail customers as well as institutional customers. The segments are divided based on differences in products and services and include: Banking Activities (all types of private and corporate customers), Asset Management (which primarily includes the Bank's advisory earnings from customers and investment funds), Markets (which includes trading earnings and a share of earnings from customers with decentralized affiliation, calculated based on the market price), Finance (includes the Group's return on positions managed by Finance, including liquidity management) and Other.</v>
    <v>2154</v>
    <v>Nasdaq Copenhagen</v>
    <v>XCSE</v>
    <v>XCSE</v>
    <v>Peberlyk 4, AABENRAA, DENMARK-NA, 6200 DK</v>
    <v>537</v>
    <v>Banking Services</v>
    <v>Stock</v>
    <v>46066.680555555555</v>
    <v>28</v>
    <v>519</v>
    <v>49170850000</v>
    <v>AL Sydbank A/S</v>
    <v>AL Sydbank A/S</v>
    <v>537</v>
    <v>12.3</v>
    <v>539.5</v>
    <v>520.5</v>
    <v>85788420</v>
    <v>ALSYDB</v>
    <v>AL Sydbank A/S (XCSE:ALSYDB)</v>
    <v>95293</v>
    <v>117940</v>
    <v>1986</v>
  </rv>
  <rv s="2">
    <v>29</v>
  </rv>
  <rv s="0">
    <v>https://www.bing.com/financeapi/forcetrigger?t=adzikr&amp;q=XCSE%3aNOVO+B&amp;form=skydnc</v>
    <v>Learn more on Bing</v>
  </rv>
  <rv s="6">
    <v>en-US</v>
    <v>adzikr</v>
    <v>268435456</v>
    <v>1</v>
    <v>Powered by Refinitiv</v>
    <v>10</v>
    <v>Novo Nordisk A/S (XCSE:NOVO B)</v>
    <v>2</v>
    <v>11</v>
    <v>Finance</v>
    <v>4</v>
    <v>1.4835</v>
    <v>4.05</v>
    <v>1.3212E-2</v>
    <v>DKK</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68794</v>
    <v>Nasdaq Copenhagen</v>
    <v>XCSE</v>
    <v>XCSE</v>
    <v>Novo Alle 1, BAGSVAERD, DENMARK-NA, 2880 DK</v>
    <v>314.85000000000002</v>
    <v>Pharmaceuticals</v>
    <v>Stock</v>
    <v>46066.680555555555</v>
    <v>31</v>
    <v>308.5</v>
    <v>1299436000000</v>
    <v>Novo Nordisk A/S</v>
    <v>Novo Nordisk A/S</v>
    <v>311.95</v>
    <v>13.3</v>
    <v>306.55</v>
    <v>310.60000000000002</v>
    <v>3390128000</v>
    <v>NOVO B</v>
    <v>Novo Nordisk A/S (XCSE:NOVO B)</v>
    <v>5552349</v>
    <v>12139260</v>
    <v>1931</v>
  </rv>
  <rv s="2">
    <v>32</v>
  </rv>
  <rv s="0">
    <v>https://www.bing.com/financeapi/forcetrigger?t=adzitc&amp;q=XCSE%3aNZYM+B&amp;form=skydnc</v>
    <v>Learn more on Bing</v>
  </rv>
  <rv s="6">
    <v>en-US</v>
    <v>adzitc</v>
    <v>268435456</v>
    <v>1</v>
    <v>Powered by Refinitiv</v>
    <v>10</v>
    <v>Novozymes A/S (XCSE:NSIS B)</v>
    <v>2</v>
    <v>11</v>
    <v>Finance</v>
    <v>4</v>
    <v>0.64890000000000003</v>
    <v>15</v>
    <v>3.8961000000000003E-2</v>
    <v>DKK</v>
    <v>Novozymes A/S is a Denmark-based biotechnology company engaged in the production and sale of industrial enzymes, microorganisms and biopharmaceutical ingredients. The Company operates in four geographical regions: Europe, Middle East &amp; Africa (including Denmark), North America, Asia Pacific and Latin America. It develops and distributes solutions within the market areas agriculture, bioenergy, food &amp; beverages, household care, leather, pharmaceuticals, forest products, textile and wastewater solutions. Novozymes operates through a range of partnerships with companies, such as Bayer and Syngenta in Agriculture and DSM and Adisseo in Animal Health &amp; Nutrition..</v>
    <v>10582</v>
    <v>Nasdaq Copenhagen</v>
    <v>XCSE</v>
    <v>XCSE</v>
    <v>Krogshoejvej 36, BAGSVAERD, DENMARK-NA, 2880 DK</v>
    <v>400</v>
    <v>Chemicals</v>
    <v>Stock</v>
    <v>46066.680555555555</v>
    <v>34</v>
    <v>384.6</v>
    <v>173625400000</v>
    <v>Novozymes A/S</v>
    <v>Novozymes A/S</v>
    <v>389.4</v>
    <v>41.15</v>
    <v>385</v>
    <v>400</v>
    <v>414555100</v>
    <v>NSIS B</v>
    <v>Novozymes A/S (XCSE:NSIS B)</v>
    <v>1191261</v>
    <v>743710</v>
    <v>2000</v>
  </rv>
  <rv s="2">
    <v>35</v>
  </rv>
  <rv s="0">
    <v>https://www.bing.com/financeapi/forcetrigger?t=adzcar&amp;q=XCSE%3aCOLO+B&amp;form=skydnc</v>
    <v>Learn more on Bing</v>
  </rv>
  <rv s="1">
    <v>en-US</v>
    <v>adzcar</v>
    <v>268435456</v>
    <v>1</v>
    <v>Powered by Refinitiv</v>
    <v>0</v>
    <v>Coloplast A/S (XCSE:COLO B)</v>
    <v>2</v>
    <v>3</v>
    <v>Finance</v>
    <v>4</v>
    <v>1194</v>
    <v>476.5</v>
    <v>0.56779999999999997</v>
    <v>-3.5</v>
    <v>-7.1120000000000003E-3</v>
    <v>DKK</v>
    <v>Coloplast A/S is a Denmark-based company active within the healthcare sector. It is engaged in the development, marketing and sale of intimate healthcare products and services, targeting people with diseases of private and personal nature. Its operations are structured into four business areas: Ostomy Care offering products for people whose intestinal outlet has been rerouted through the abdominal wall, Continence Care products for people suffering from diseases of and damage to the urinary system, Urology Care products for people suffering from diseases of and damage to the kidneys, the urinary system or the male reproductive system and Wound &amp; Skin Care for the treatment of chronic wounds and skin care products for prevention and treatment. The Company supplies products to hospitals, institutions as well as wholesalers and pharmacies.</v>
    <v>16983</v>
    <v>Nasdaq Copenhagen</v>
    <v>XCSE</v>
    <v>XCSE</v>
    <v>Holtedam 1-3, HUMLEBAEK, 3050 DK</v>
    <v>492.9</v>
    <v>Healthcare Equipment &amp; Supplies</v>
    <v>Stock</v>
    <v>46066.680555555555</v>
    <v>37</v>
    <v>479</v>
    <v>121159300000</v>
    <v>Coloplast A/S</v>
    <v>Coloplast A/S</v>
    <v>488</v>
    <v>27.8</v>
    <v>492.1</v>
    <v>488.6</v>
    <v>210200000</v>
    <v>COLO B</v>
    <v>Coloplast A/S (XCSE:COLO B)</v>
    <v>412642</v>
    <v>422950</v>
    <v>1957</v>
  </rv>
  <rv s="2">
    <v>38</v>
  </rv>
  <rv s="0">
    <v>https://www.bing.com/financeapi/forcetrigger?t=adzehw&amp;q=XCSE%3aGMAB&amp;form=skydnc</v>
    <v>Learn more on Bing</v>
  </rv>
  <rv s="1">
    <v>en-US</v>
    <v>adzehw</v>
    <v>268435456</v>
    <v>1</v>
    <v>Powered by Refinitiv</v>
    <v>0</v>
    <v>Genmab A/S (XCSE:GMAB)</v>
    <v>2</v>
    <v>3</v>
    <v>Finance</v>
    <v>4</v>
    <v>3327</v>
    <v>946</v>
    <v>0.74939999999999996</v>
    <v>23.5</v>
    <v>1.2493000000000001E-2</v>
    <v>DKK</v>
    <v>Genmab A/S is a Denmark-based international biotechnology company. It specializes in the creation and development of antibody therapeutics for the treatment of cancer. The Company is the creator of the approved antibodies: DARZALEX (daratumumab) for the treatment of certain multiple myeloma indications, Kesimpta for the treatment of adults with relapsing forms of multiple sclerosis, TEPEZZA (teprotumumab) for the treatment of thyroid eye disease and FASPRO, for the treatment of adult patients with certain multiple myeloma indications. The first approved Genmab created therapy Arzerra, approved for the treatment of certain chronic lymphocytic leukemia indications, is available in Japan and is also available in other territories via compassionate use or oncology access programs. Genmab develops a broad clinical and pre-clinical product pipeline, and owns four antibody technologies, DuoBody bispecific platform, HexaBody platform, DuoHexaBody platform &amp; HexElect platform.</v>
    <v>2681</v>
    <v>Nasdaq Copenhagen</v>
    <v>XCSE</v>
    <v>XCSE</v>
    <v>Carl Jacobsens Vej 30, VALBY, 2500 DK</v>
    <v>1908</v>
    <v>Biotechnology &amp; Medical Research</v>
    <v>Stock</v>
    <v>46066.680555555555</v>
    <v>40</v>
    <v>1847</v>
    <v>138137600000</v>
    <v>Genmab A/S</v>
    <v>Genmab A/S</v>
    <v>1868</v>
    <v>14.22</v>
    <v>1881</v>
    <v>1904.5</v>
    <v>64238410</v>
    <v>GMAB</v>
    <v>Genmab A/S (XCSE:GMAB)</v>
    <v>96340</v>
    <v>109270</v>
    <v>1998</v>
  </rv>
  <rv s="2">
    <v>41</v>
  </rv>
  <rv s="0">
    <v>https://www.bing.com/financeapi/forcetrigger?t=adzmw7&amp;q=XCSE%3aDEMANT&amp;form=skydnc</v>
    <v>Learn more on Bing</v>
  </rv>
  <rv s="6">
    <v>en-US</v>
    <v>adzmw7</v>
    <v>268435456</v>
    <v>1</v>
    <v>Powered by Refinitiv</v>
    <v>10</v>
    <v>Demant A/S (XCSE:DEMANT)</v>
    <v>2</v>
    <v>11</v>
    <v>Finance</v>
    <v>4</v>
    <v>0.97450000000000003</v>
    <v>-0.5</v>
    <v>-2.8299999999999996E-3</v>
    <v>DKK</v>
    <v>Demant A/S, formerly William Demant Holding A/S, is a Denmark-based company engaged in the healthcare industry. It develops, manufactures and sells products and equipment designed to aid the hearing and communication of individuals. The Group focuses on four business areas: Hearing Devices, including such brands as Bernafon, Oticon, Frontrow, Phonic Ear and Sonic; Hearing Implants, including Oticon Medical; Diagnostic Instruments, comprising operations of such audiometer companies as Interacoustics, Grason-Stadler, Amplivox, Maico and MedRx, and Personal Communication, which includes the business of Sennheiser Communications, a headset producer. The Company operates globally, through more than 90 subsidiaries and associates worldwide.</v>
    <v>26704</v>
    <v>Nasdaq Copenhagen</v>
    <v>XCSE</v>
    <v>XCSE</v>
    <v>Kongebakken 9, SMOERUM, 2765 DK</v>
    <v>177.4</v>
    <v>Healthcare Equipment &amp; Supplies</v>
    <v>Stock</v>
    <v>46066.680555555555</v>
    <v>43</v>
    <v>175</v>
    <v>49814160000</v>
    <v>Demant A/S</v>
    <v>Demant A/S</v>
    <v>175</v>
    <v>15.77</v>
    <v>176.7</v>
    <v>176.2</v>
    <v>213794700</v>
    <v>DEMANT</v>
    <v>Demant A/S (XCSE:DEMANT)</v>
    <v>431882</v>
    <v>823340</v>
    <v>1983</v>
  </rv>
  <rv s="2">
    <v>44</v>
  </rv>
  <rv s="0">
    <v>https://www.bing.com/financeapi/forcetrigger?t=adzn2w&amp;q=XCSE%3aZEAL&amp;form=skydnc</v>
    <v>Learn more on Bing</v>
  </rv>
  <rv s="6">
    <v>en-US</v>
    <v>adzn2w</v>
    <v>268435456</v>
    <v>1</v>
    <v>Powered by Refinitiv</v>
    <v>10</v>
    <v>Zealand Pharma A/S (XCSE:ZEAL)</v>
    <v>2</v>
    <v>11</v>
    <v>Finance</v>
    <v>4</v>
    <v>0.9849</v>
    <v>-9</v>
    <v>-2.2021000000000002E-2</v>
    <v>DKK</v>
    <v>Zealand Pharma A/S is a Denmark-based biotechnology company. The Company is focused on the discovery, design and development of peptide-based medicines for metabolic and gastrointestinal diseases and other rare disease areas with unmet medical needs. The Company's peptide-based product candidates includes clinical development, registration and, potentially, commercialization. Its pipeline includes three product candidates in clinical development: glepaglutide, which is being developed to treat short bowel syndrome, or SBS; dasiglucagon formulated for use in a dual-hormone artificial pancreas system for better diabetes management; and dasiglucagon for use in the treatment of congenital hyperinsulinism. The Company operates in Denmark and the USA and has a portfolio of medicines and product candidates, including collaborations with Boehringer Ingelheim.</v>
    <v>440</v>
    <v>Nasdaq Copenhagen</v>
    <v>XCSE</v>
    <v>XCSE</v>
    <v>Sydmarken 11, SOEBORG, 2860 DK</v>
    <v>404</v>
    <v>Biotechnology &amp; Medical Research</v>
    <v>Stock</v>
    <v>46066.680555555555</v>
    <v>46</v>
    <v>390.1</v>
    <v>29321170000</v>
    <v>Zealand Pharma A/S</v>
    <v>Zealand Pharma A/S</v>
    <v>400</v>
    <v>4.42</v>
    <v>408.7</v>
    <v>399.7</v>
    <v>71515050</v>
    <v>ZEAL</v>
    <v>Zealand Pharma A/S (XCSE:ZEAL)</v>
    <v>506456</v>
    <v>324370</v>
    <v>1997</v>
  </rv>
  <rv s="2">
    <v>47</v>
  </rv>
  <rv s="0">
    <v>https://www.bing.com/financeapi/forcetrigger?t=adzaw7&amp;q=XCSE%3aAMBU+B&amp;form=skydnc</v>
    <v>Learn more on Bing</v>
  </rv>
  <rv s="1">
    <v>en-US</v>
    <v>adzaw7</v>
    <v>268435456</v>
    <v>1</v>
    <v>Powered by Refinitiv</v>
    <v>0</v>
    <v>Ambu A/S (XCSE:AMBU B)</v>
    <v>2</v>
    <v>3</v>
    <v>Finance</v>
    <v>4</v>
    <v>358.7</v>
    <v>61.26</v>
    <v>0.8286</v>
    <v>-0.6</v>
    <v>-7.2290000000000002E-3</v>
    <v>DKK</v>
    <v>Ambu A/S is a Denmark-based company engaged in the development, manufacture and marketing of diagnostic and life-supporting devices for hospitals and rescue services. The Company’s operations are structured into three business areas: Anaesthesia, Patient Monitoring &amp; Diagnostics and Emergency Care. The Anaesthesia business area offers a range of products such as resuscitators, face masks and laryngeal masks. The Patient Monitoring &amp; Diagnostics business area comprises single use electrodes for cardiological and neurological examinations. The target groups for these products are hospitals, clinics, ambulance services and sleep labs. The Emergency Care business area offers ventilation bags, neck collars and manikins for first-aid training. The Company markets its products worldwide. The Company operates King Systems Inc, First Water Heathcote Ltd and Invendo Medical GmbH as subsidiaries.</v>
    <v>5430</v>
    <v>Nasdaq Copenhagen</v>
    <v>XCSE</v>
    <v>XCSE</v>
    <v>Baltorpbakken 13, BALLERUP, 2750 DK</v>
    <v>83.3</v>
    <v>Healthcare Equipment &amp; Supplies</v>
    <v>Stock</v>
    <v>46066.680555555555</v>
    <v>49</v>
    <v>82</v>
    <v>21382670000</v>
    <v>Ambu A/S</v>
    <v>Ambu A/S</v>
    <v>83.3</v>
    <v>40.6</v>
    <v>83</v>
    <v>82.4</v>
    <v>234974400</v>
    <v>AMBU B</v>
    <v>Ambu A/S (XCSE:AMBU B)</v>
    <v>512159</v>
    <v>1027410</v>
    <v>1956</v>
  </rv>
  <rv s="2">
    <v>50</v>
  </rv>
  <rv s="0">
    <v>https://www.bing.com/financeapi/forcetrigger?t=adzetc&amp;q=XCSE%3aGN&amp;form=skydnc</v>
    <v>Learn more on Bing</v>
  </rv>
  <rv s="7">
    <v>en-US</v>
    <v>adzetc</v>
    <v>268435456</v>
    <v>1</v>
    <v>Powered by Refinitiv</v>
    <v>12</v>
    <v>GN Store Nord A/S (XCSE:GN)</v>
    <v>2</v>
    <v>13</v>
    <v>Finance</v>
    <v>4</v>
    <v>0.89859999999999995</v>
    <v>1.32</v>
    <v>1.3653E-2</v>
    <v>DKK</v>
    <v>GN Store Nord A/S is a Denmark-based company offering audio solutions. The Company is focused on human auditory system, sound and speech, wireless technologies, and software development linking insight and knowledge from both the hearing aid and the headset industries. The Company's segments include GN Hearing, GN Audio and Other GN. The GN Audio segment is engaged in selling hands free communications solutions in the form of headsets for mobile phones and traditional phones. The GN Hearing segment operates within the hearing instrument industry, primarily producing and selling hearing instruments and related products. GN Hearing is a wholesale manufacturer. It offers a portfolio of medical, professional and consumer audio solutions, and offers brands in the medical technology, hearables and audio fields. Its audio solutions are marketed by its brands ReSound and Jabra. It provides products and solutions to users in over 90 countries across the world.</v>
    <v>7611</v>
    <v>Nasdaq Copenhagen</v>
    <v>XCSE</v>
    <v>XCSE</v>
    <v>Lautrupbjerg 7, BALLERUP, DENMARK-NA, 2750 DK</v>
    <v>98.5</v>
    <v>Computers, Phones &amp; Household Electronics</v>
    <v>Stock</v>
    <v>46066.680555555555</v>
    <v>52</v>
    <v>95.4</v>
    <v>17837880000</v>
    <v>GN Store Nord A/S</v>
    <v>GN Store Nord A/S</v>
    <v>96.68</v>
    <v>21.57</v>
    <v>96.68</v>
    <v>98</v>
    <v>150912700</v>
    <v>GN</v>
    <v>GN Store Nord A/S (XCSE:GN)</v>
    <v>735362</v>
    <v>1246470</v>
  </rv>
  <rv s="2">
    <v>53</v>
  </rv>
  <rv s="0">
    <v>https://www.bing.com/financeapi/forcetrigger?t=adzb8m&amp;q=XCSE%3aBAVA&amp;form=skydnc</v>
    <v>Learn more on Bing</v>
  </rv>
  <rv s="6">
    <v>en-US</v>
    <v>adzb8m</v>
    <v>268435456</v>
    <v>1</v>
    <v>Powered by Refinitiv</v>
    <v>10</v>
    <v>Bavarian Nordic A/S (XCSE:BAVA)</v>
    <v>2</v>
    <v>11</v>
    <v>Finance</v>
    <v>4</v>
    <v>0.58169999999999999</v>
    <v>-1.2</v>
    <v>-6.2109999999999995E-3</v>
    <v>DKK</v>
    <v>Bavarian Nordic A/S is a Denmark-based biotechnology company engaged in manufacturing of pharmaceutical preparations. The Company is involved in research and development innovations, production and commercialization of life-saving vaccines based on viral vectors for the delivery of antigens targeting infectious diseases. Bavarian Nordic A/S offers travel health products including cholera, rabies, tick-borne encephalitis and typhoid vaccines, as well as vaccines sold and distributed in selected markets on behalf of third parties. The Company deals with vaccines aimed at improving public health and preparedness. Bavarian Nordic A/S focuses on vaccine solutions that help address the threat of infectious diseases. The Company operates worldwide.</v>
    <v>1738</v>
    <v>Nasdaq Copenhagen</v>
    <v>XCSE</v>
    <v>XCSE</v>
    <v>Philip Heymans Alle 3, HELLERUP, 2900 DK</v>
    <v>193.2</v>
    <v>Pharmaceuticals</v>
    <v>Stock</v>
    <v>46066.680555555555</v>
    <v>55</v>
    <v>189.65</v>
    <v>15823570000</v>
    <v>Bavarian Nordic A/S</v>
    <v>Bavarian Nordic A/S</v>
    <v>193.15</v>
    <v>6.32</v>
    <v>193.2</v>
    <v>192</v>
    <v>79236730</v>
    <v>BAVA</v>
    <v>Bavarian Nordic A/S (XCSE:BAVA)</v>
    <v>257373</v>
    <v>304260</v>
    <v>1992</v>
  </rv>
  <rv s="2">
    <v>56</v>
  </rv>
  <rv s="0">
    <v>https://www.bing.com/financeapi/forcetrigger?t=adzda2&amp;q=XCSE%3aDSV&amp;form=skydnc</v>
    <v>Learn more on Bing</v>
  </rv>
  <rv s="6">
    <v>en-US</v>
    <v>adzda2</v>
    <v>268435456</v>
    <v>1</v>
    <v>Powered by Refinitiv</v>
    <v>10</v>
    <v>DSV A/S (XCSE:DSV)</v>
    <v>2</v>
    <v>11</v>
    <v>Finance</v>
    <v>4</v>
    <v>0.83879999999999999</v>
    <v>-12.5</v>
    <v>-7.3419999999999996E-3</v>
    <v>DKK</v>
    <v>DSV A/S, formerly DSV Panalpina A/S, is a Denmark-based company engaged in the transportation and logistics services. The Company’s operations are divided into three business segments: The Air and Sea service, which provides air and sea freight services across the globe; The Road, that provides road freight services across Europe, North America and South Africa and The Solutions segment, which offers contract logistics services, including warehousing and inventory management, across the globe. The Company operates worldwide.</v>
    <v>151751</v>
    <v>Nasdaq Copenhagen</v>
    <v>XCSE</v>
    <v>XCSE</v>
    <v>Hovedgaden 630, HEDEHUSENE, 2640 DK</v>
    <v>1749.5</v>
    <v>Freight &amp; Logistics Services</v>
    <v>Stock</v>
    <v>46066.680555555555</v>
    <v>58</v>
    <v>1651.5</v>
    <v>415247700000</v>
    <v>DSV A/S</v>
    <v>DSV A/S</v>
    <v>1735</v>
    <v>47.8</v>
    <v>1702.5</v>
    <v>1690</v>
    <v>240444500</v>
    <v>DSV</v>
    <v>DSV A/S (XCSE:DSV)</v>
    <v>1187147</v>
    <v>606520</v>
    <v>1976</v>
  </rv>
  <rv s="2">
    <v>59</v>
  </rv>
  <rv s="0">
    <v>https://www.bing.com/financeapi/forcetrigger?t=adzhcw&amp;q=XCSE%3aMAERSK+B&amp;form=skydnc</v>
    <v>Learn more on Bing</v>
  </rv>
  <rv s="1">
    <v>en-US</v>
    <v>adzhcw</v>
    <v>268435456</v>
    <v>1</v>
    <v>Powered by Refinitiv</v>
    <v>0</v>
    <v>AP Moeller - Maersk A/S (XCSE:MAERSK B)</v>
    <v>2</v>
    <v>3</v>
    <v>Finance</v>
    <v>4</v>
    <v>24920</v>
    <v>4978</v>
    <v>0.68279999999999996</v>
    <v>625</v>
    <v>4.2502999999999999E-2</v>
    <v>DKK</v>
    <v>AP Moeller - Maersk A/S is a Denmark-based container logistics company. It is engaged primarily in container shipping and related activities, including tankers, trampers and offshore operations worldwide, through its subsidiaries. Maersk comprises four business segments: Ocean, Logistics &amp; Services, Terminals &amp; Towage and Manufacturing &amp; Others. Ocean segment includes the ocean activities of Maersk Liner Business together with the Hamburg Sud Brands. Inland activities related to Maersk Liner Business are included in the Logistics &amp; Services segment. Terminals &amp; Towage segment includes gateway terminals involving landside activities and towage services. Manufacturing &amp; Others segment includes the activities of Maersk Container Industry with the production and sale of reefer containers at the factory in China. The Company operates worldwide.</v>
    <v>105030</v>
    <v>Nasdaq Copenhagen</v>
    <v>XCSE</v>
    <v>XCSE</v>
    <v>Esplanaden 50, KOEBENHAVN K, DENMARK-NA, 1098 DK</v>
    <v>15445</v>
    <v>Freight &amp; Logistics Services</v>
    <v>Stock</v>
    <v>46066.680555555555</v>
    <v>61</v>
    <v>14835</v>
    <v>248490500000</v>
    <v>AP Moeller - Maersk A/S</v>
    <v>AP Moeller - Maersk A/S</v>
    <v>14995</v>
    <v>2.81</v>
    <v>14705</v>
    <v>15330</v>
    <v>15828940</v>
    <v>MAERSK B</v>
    <v>AP Moeller - Maersk A/S (XCSE:MAERSK B)</v>
    <v>21933</v>
    <v>22420</v>
    <v>1904</v>
  </rv>
  <rv s="2">
    <v>62</v>
  </rv>
  <rv s="0">
    <v>https://www.bing.com/financeapi/forcetrigger?t=adzmtc&amp;q=XCSE%3aVWS&amp;form=skydnc</v>
    <v>Learn more on Bing</v>
  </rv>
  <rv s="6">
    <v>en-US</v>
    <v>adzmtc</v>
    <v>268435456</v>
    <v>1</v>
    <v>Powered by Refinitiv</v>
    <v>10</v>
    <v>Vestas Wind Systems A/S (XCSE:VWS)</v>
    <v>2</v>
    <v>11</v>
    <v>Finance</v>
    <v>4</v>
    <v>0.94569999999999999</v>
    <v>-2.4</v>
    <v>-1.5384999999999999E-2</v>
    <v>DKK</v>
    <v>Vestas Wind Systems A/S is a Denmark-based company active within the wind power industry. The Company operates through two segments, Project and Service. The Project segment is responsible for sale of wind power plants and wind turbines, among others. The Service segment contains provision of services related to the Company's offer, as well as sale of spare parts and other activities. Vestas Wind System's product line comprises 2 Megawatt (MW) and 3MW energy capture platforms equipped with ice, smoke and shadow detection systems. Its services range consists of data-driven consultancy services, fleet optimization, blade maintenance and inspection, power generator repairs and gearbox exchange, among others.</v>
    <v>36973</v>
    <v>Nasdaq Copenhagen</v>
    <v>XCSE</v>
    <v>XCSE</v>
    <v>Hedeager 42, Aarhus N, 8200 DK</v>
    <v>156.6</v>
    <v>Renewable Energy</v>
    <v>Stock</v>
    <v>46066.680555555555</v>
    <v>64</v>
    <v>151.19999999999999</v>
    <v>183812800000</v>
    <v>Vestas Wind Systems A/S</v>
    <v>Vestas Wind Systems A/S</v>
    <v>155.94999999999999</v>
    <v>27.21</v>
    <v>156</v>
    <v>153.6</v>
    <v>1009867000</v>
    <v>VWS</v>
    <v>Vestas Wind Systems A/S (XCSE:VWS)</v>
    <v>3676213</v>
    <v>3524150</v>
    <v>1986</v>
  </rv>
  <rv s="2">
    <v>65</v>
  </rv>
  <rv s="0">
    <v>https://www.bing.com/financeapi/forcetrigger?t=adzgar&amp;q=XCSE%3aISS&amp;form=skydnc</v>
    <v>Learn more on Bing</v>
  </rv>
  <rv s="6">
    <v>en-US</v>
    <v>adzgar</v>
    <v>268435456</v>
    <v>1</v>
    <v>Powered by Refinitiv</v>
    <v>10</v>
    <v>Iss A/S (XCSE:ISS)</v>
    <v>2</v>
    <v>11</v>
    <v>Finance</v>
    <v>4</v>
    <v>0.40910000000000002</v>
    <v>-5.8</v>
    <v>-2.2463E-2</v>
    <v>DKK</v>
    <v>Iss A/S is a Denmark-based workplace experience and facility management company. The Company provides placemaking solutions that contribute to better business performance. Iss offerings include every day, custom cleaning services, integrated food services, security services, branding support services, technical and engineering services, and strategic workplace management and design services. The Company’s key customer segments are Business Services &amp; IT, Industry &amp; Manufacturing, Public Administration, and Healthcare. The Company operates in more than 50 countries and its operations are divided between Continental Europe, Northern Europe, Asia &amp; Pacific, and Americas.</v>
    <v>318105</v>
    <v>Nasdaq Copenhagen</v>
    <v>XCSE</v>
    <v>XCSE</v>
    <v>Buddingevej 197, SOEBORG, 2860 DK</v>
    <v>258</v>
    <v>Professional &amp; Commercial Services</v>
    <v>Stock</v>
    <v>46066.680555555555</v>
    <v>67</v>
    <v>250</v>
    <v>40553760000</v>
    <v>Iss A/S</v>
    <v>Iss A/S</v>
    <v>258</v>
    <v>16.77</v>
    <v>258.2</v>
    <v>252.4</v>
    <v>174200000</v>
    <v>ISS</v>
    <v>Iss A/S (XCSE:ISS)</v>
    <v>742338</v>
    <v>415620</v>
    <v>2005</v>
  </rv>
  <rv s="2">
    <v>68</v>
  </rv>
  <rv s="0">
    <v>https://www.bing.com/financeapi/forcetrigger?t=adzi3m&amp;q=XCSE%3aNKT&amp;form=skydnc</v>
    <v>Learn more on Bing</v>
  </rv>
  <rv s="7">
    <v>en-US</v>
    <v>adzi3m</v>
    <v>268435456</v>
    <v>1</v>
    <v>Powered by Refinitiv</v>
    <v>12</v>
    <v>Nkt A/S (XCSE:NKT)</v>
    <v>2</v>
    <v>13</v>
    <v>Finance</v>
    <v>4</v>
    <v>0.55900000000000005</v>
    <v>-25.5</v>
    <v>-3.0320999999999997E-2</v>
    <v>DKK</v>
    <v>Nkt A/S is a Denmark-based provider of turnkey AC/DC cable solutions. The Company serves customers within the energy sector. NKT addresses three of the power cable industry’s market segments through its business lines Solutions, Applications and Service &amp; Accessories. Each business line specializes in separate areas of the power cable market. Solutions specializes in high-voltage power cable solutions. Applications offers a broad range of low- and medium-voltage power cable solutions. Service &amp; Accessories supplies off- and onshore power cable services and offers a full portfolio of power cable accessories across the medium- and high-voltage categories. The company operates in over 10 countries, with the main production sites located in the northern part of Europe.</v>
    <v>6085</v>
    <v>Nasdaq Copenhagen</v>
    <v>XCSE</v>
    <v>XCSE</v>
    <v>Vibeholms Alle 20, BROENDBY, 2605 DK</v>
    <v>834.5</v>
    <v>Machinery, Equipment &amp; Components</v>
    <v>Stock</v>
    <v>46066.680555555555</v>
    <v>70</v>
    <v>794</v>
    <v>42377380000</v>
    <v>Nkt A/S</v>
    <v>Nkt A/S</v>
    <v>834.5</v>
    <v>27.64</v>
    <v>841</v>
    <v>815.5</v>
    <v>53720040</v>
    <v>NKT</v>
    <v>Nkt A/S (XCSE:NKT)</v>
    <v>349355</v>
    <v>135970</v>
  </rv>
  <rv s="2">
    <v>71</v>
  </rv>
  <rv s="0">
    <v>https://www.bing.com/financeapi/forcetrigger?t=adzk52&amp;q=XCSE%3aROCK+B&amp;form=skydnc</v>
    <v>Learn more on Bing</v>
  </rv>
  <rv s="1">
    <v>en-US</v>
    <v>adzk52</v>
    <v>268435456</v>
    <v>1</v>
    <v>Powered by Refinitiv</v>
    <v>0</v>
    <v>Rockwool A/S (XCSE:ROCK B)</v>
    <v>2</v>
    <v>3</v>
    <v>Finance</v>
    <v>4</v>
    <v>3486</v>
    <v>196.7</v>
    <v>0.81330000000000002</v>
    <v>-2.25</v>
    <v>-9.7660000000000004E-3</v>
    <v>DKK</v>
    <v>Rockwool A/S, formerly Rockwool International A/S is a Denmark-based manufacturer of mineral wool products. The Company offers floor insulation that is made from stone wool and aim to improve a building's thermal and acoustic performance. Rockwool A/S consists of five brands: Rockwool, Rockfon, Rockpanel, Lapinus, and Grodan. Rockwool is a supplier of fire resilient stone wool insulation. Rockfon provides customers with a complete ceiling system offer. Rockpanel manufactures board material mostly used in ventilated constructions. Lapinus develops products used in applications, including friction and water management. Grodan is involved in the supply of stone wool substrate solutions. The Company operates through two business segments: Insulation and Systems.</v>
    <v>12912</v>
    <v>Nasdaq Copenhagen</v>
    <v>XCSE</v>
    <v>XCSE</v>
    <v>Hovedgaden 584, HEDEHUSENE, 2640 DK</v>
    <v>229.65</v>
    <v>Construction Materials</v>
    <v>Stock</v>
    <v>46066.680555555555</v>
    <v>73</v>
    <v>224.65</v>
    <v>43322440000</v>
    <v>Rockwool A/S</v>
    <v>Rockwool A/S</v>
    <v>226.75</v>
    <v>12.97</v>
    <v>230.4</v>
    <v>228.15</v>
    <v>211605800</v>
    <v>ROCK B</v>
    <v>Rockwool A/S (XCSE:ROCK B)</v>
    <v>424203</v>
    <v>442420</v>
    <v>1936</v>
  </rv>
  <rv s="2">
    <v>74</v>
  </rv>
  <rv s="0">
    <v>https://www.bing.com/financeapi/forcetrigger?t=af8esm&amp;q=XFRA%3aDTE&amp;form=skydnc</v>
    <v>Learn more on Bing</v>
  </rv>
  <rv s="1">
    <v>en-US</v>
    <v>af8esm</v>
    <v>268435456</v>
    <v>1</v>
    <v>Powered by Refinitiv</v>
    <v>0</v>
    <v>Deutsche Telekom AG (XFRA:DTE)</v>
    <v>2</v>
    <v>14</v>
    <v>Finance</v>
    <v>15</v>
    <v>35.92</v>
    <v>10.45</v>
    <v>0.62729999999999997</v>
    <v>0.22</v>
    <v>6.8489999999999992E-3</v>
    <v>EUR</v>
    <v>Deutsche Telekom AG is a Germany-based company that provides information technology (IT) and telecommunications services. The Company's operating segments include Germany, consisting of fixed-network and mobile activities in Germany; United States, which consists of mobile activities in the United States market; Europe, consisting of fixed-network and mobile operations of the national companies in various European countries, such as Greece, Romania, Hungary, Poland, the Czech Republic, Croatia, Slovakia, Austria, Albania, Macedonia and Montenegro; Systems Solutions, which operates information and communication technology (ICT) systems for multinational corporations and public sector institutions; Group Development, comprising the entities T-Mobile Netherlands and Deutsche Funkturm (DFMG) and its equity investment in Stroeer SE &amp; Co. KGaA, and Group Headquarters &amp; Group Services, which consists of the operations of service headquarters and various other subsidiaries of the Company.</v>
    <v>201336</v>
    <v>Deutsche Boerse AG</v>
    <v>XFRA</v>
    <v>XFRA</v>
    <v>Friedrich-Ebert-Allee 140, BONN, NORDRHEIN-WESTFALEN, 53113 DE</v>
    <v>32.409999999999997</v>
    <v>Telecommunications Services</v>
    <v>Stock</v>
    <v>46066.878472222219</v>
    <v>76</v>
    <v>31.87</v>
    <v>137247200000</v>
    <v>Deutsche Telekom AG</v>
    <v>Deutsche Telekom AG</v>
    <v>31.91</v>
    <v>12.35</v>
    <v>32.119999999999997</v>
    <v>32.340000000000003</v>
    <v>4905190000</v>
    <v>DTE</v>
    <v>Deutsche Telekom AG (XFRA:DTE)</v>
    <v>24782</v>
    <v>8860390</v>
    <v>1995</v>
  </rv>
  <rv s="2">
    <v>77</v>
  </rv>
  <rv s="0">
    <v>https://www.bing.com/financeapi/forcetrigger?t=ae435r&amp;q=XHEL%3aNOKIA&amp;form=skydnc</v>
    <v>Learn more on Bing</v>
  </rv>
  <rv s="1">
    <v>en-US</v>
    <v>ae435r</v>
    <v>268435456</v>
    <v>1</v>
    <v>Powered by Refinitiv</v>
    <v>0</v>
    <v>Nokia Oyj (XHEL:NOKIA)</v>
    <v>2</v>
    <v>14</v>
    <v>Finance</v>
    <v>4</v>
    <v>35.340000000000003</v>
    <v>2.0844999999999998</v>
    <v>1.3419000000000001</v>
    <v>3.5999999999999997E-2</v>
    <v>6.1729999999999997E-3</v>
    <v>EUR</v>
    <v>Nokia Oyj is a Finland-based company engaged in the network and Internet protocol (IP) infrastructure, software, and related services market. The Company's businesses include Nokia Networks and Nokia Technologies. The Company's segments include Ultra Broadband Networks, IP Networks and Applications, and Nokia Technologies. The Ultra Broadband Networks segment comprises Mobile Networks and Fixed Networks operating segments. The IP Networks and Applications segment comprises IP/Optical Networks and Applications &amp; Analytics operating segments. The Applications &amp; Analytics operating segment offers software solutions spanning customer experience management, network operations and management, communications and collaboration, policy and charging, as well as Cloud, Internet of things (IoT), security, and analytics platforms that enable digital services providers and enterprises to accelerate and optimize their customer experience. The Company has Comptel Oyj among its subsidiaries.</v>
    <v>80361</v>
    <v>NASDAQ Helsinki</v>
    <v>XHEL</v>
    <v>XHEL</v>
    <v>Karakaari 7, ESPOO, ETELA-SUOMEN, 02610 FI</v>
    <v>5.9080000000000004</v>
    <v>Communications &amp; Networking</v>
    <v>Stock</v>
    <v>46066.708333333336</v>
    <v>79</v>
    <v>5.7960000000000003</v>
    <v>32110600000</v>
    <v>Nokia Oyj</v>
    <v>Nokia Oyj</v>
    <v>5.81</v>
    <v>48.6</v>
    <v>5.8319999999999999</v>
    <v>5.8680000000000003</v>
    <v>5742240000</v>
    <v>NOKIA</v>
    <v>Nokia Oyj (XHEL:NOKIA)</v>
    <v>6988931</v>
    <v>11168670</v>
    <v>1997</v>
  </rv>
  <rv s="2">
    <v>80</v>
  </rv>
  <rv s="0">
    <v>https://www.bing.com/financeapi/forcetrigger?t=brzn52&amp;q=XWBO%3aPRX&amp;form=skydnc</v>
    <v>Learn more on Bing</v>
  </rv>
  <rv s="6">
    <v>en-US</v>
    <v>brzn52</v>
    <v>268435456</v>
    <v>1</v>
    <v>Powered by Refinitiv</v>
    <v>10</v>
    <v>Prosus NV (XWBO:PRX)</v>
    <v>2</v>
    <v>16</v>
    <v>Finance</v>
    <v>15</v>
    <v>0.75749999999999995</v>
    <v>-2.09</v>
    <v>-4.1230999999999997E-2</v>
    <v>EUR</v>
    <v>Prosus NV, formerly Myriad International Holdings NV, is a Netherland-based global consumer Internet group. The Company is organized into six business areas: Classifieds, Payments &amp; Fintech, Food delivery, Etail, Ventures and Travel. It also holds investments in listed Social &amp; Internet assets. The Classifieds business area manages mobile and digital marketplaces. The Payments &amp; Fintech business area includes PayU, a Payment Service Platform. The Food delivery business area manages food delivery companies. The Travel business area operates a travel online platform. The Etail business area includes business to consumer e-commerce companies. The Venture business area looks for and invests in early stage companies.</v>
    <v>22159</v>
    <v>Wiener Boerse</v>
    <v>XWBO</v>
    <v>XWBO</v>
    <v>Gustav Mahlerplein 5, Symphony Offices, AMSTERDAM, NOORD-HOLLAND, 1082 MS NL</v>
    <v>49.61</v>
    <v>Software &amp; IT Services</v>
    <v>Stock</v>
    <v>46052</v>
    <v>82</v>
    <v>48.6</v>
    <v>131510100000</v>
    <v>Prosus NV</v>
    <v>Prosus NV</v>
    <v>49.61</v>
    <v>8.58</v>
    <v>50.69</v>
    <v>48.6</v>
    <v>2378948000</v>
    <v>PRX</v>
    <v>Prosus NV (XWBO:PRX)</v>
    <v>25</v>
    <v>3682180</v>
    <v>1997</v>
  </rv>
  <rv s="2">
    <v>83</v>
  </rv>
  <rv s="0">
    <v>https://www.bing.com/financeapi/forcetrigger?t=a1ruc7&amp;q=XNYS%3aEL&amp;form=skydnc</v>
    <v>Learn more on Bing</v>
  </rv>
  <rv s="8">
    <v>en-US</v>
    <v>a1ruc7</v>
    <v>268435456</v>
    <v>1</v>
    <v>Powered by Refinitiv</v>
    <v>17</v>
    <v>THE ESTEE LAUDER COMPANIES INC. (XNYS:EL)</v>
    <v>2</v>
    <v>18</v>
    <v>Finance</v>
    <v>19</v>
    <v>121.63500000000001</v>
    <v>48.370100000000001</v>
    <v>1.1111</v>
    <v>1.82</v>
    <v>-3.6949999999999998E-4</v>
    <v>1.7101999999999999E-2</v>
    <v>-0.04</v>
    <v>USD</v>
    <v>The Estee Lauder Companies Inc. is a manufacturer, marketer and seller of skin care, makeup, fragrance and hair care products. Its products are sold in over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and BALMAIN Beauty. It is a licensee for fragrances, cosmetics and/or related products for AERIN, BALMAIN, and Dr. Andrew Weil. Its skin care products include moisturizers, serums, cleansers, toners, exfoliators, facial masks, body care, sun care products and others. Its makeup products include foundations, powders, concealers and setting sprays, lipsticks, lip liners and lip glosses, and mascaras, eyeshadows and eyeliners.</v>
    <v>57000</v>
    <v>New York Stock Exchange</v>
    <v>XNYS</v>
    <v>XNYS</v>
    <v>767 Fifth Avenue, NEW YORK, NY, 10153 US</v>
    <v>109.24</v>
    <v>Personal &amp; Household Products &amp; Services</v>
    <v>Stock</v>
    <v>46066.932999582816</v>
    <v>85</v>
    <v>106</v>
    <v>39153341304</v>
    <v>THE ESTEE LAUDER COMPANIES INC.</v>
    <v>THE ESTEE LAUDER COMPANIES INC.</v>
    <v>106.21</v>
    <v>106.42</v>
    <v>108.24</v>
    <v>108.2</v>
    <v>361727100</v>
    <v>EL</v>
    <v>THE ESTEE LAUDER COMPANIES INC. (XNYS:EL)</v>
    <v>3414083</v>
    <v>4615679</v>
    <v>1976</v>
  </rv>
  <rv s="2">
    <v>86</v>
  </rv>
  <rv s="0">
    <v>https://www.bing.com/financeapi/forcetrigger?t=ae9wk2&amp;q=XPAR%3aRMS&amp;form=skydnc</v>
    <v>Learn more on Bing</v>
  </rv>
  <rv s="1">
    <v>en-US</v>
    <v>ae9wk2</v>
    <v>268435456</v>
    <v>1</v>
    <v>Powered by Refinitiv</v>
    <v>0</v>
    <v>Hermes International SCA (XPAR:RMS)</v>
    <v>2</v>
    <v>14</v>
    <v>Finance</v>
    <v>15</v>
    <v>2957</v>
    <v>1992.5</v>
    <v>1.4005000000000001</v>
    <v>-27</v>
    <v>-1.242E-2</v>
    <v>EUR</v>
    <v>Hermes International SCA is a France-based company. The Company is predominantly specialized in the designing, manufacturing, and marketing of luxury products. Its products are divided among leather and saddlery goods, such as purses, luggage, small leather goods, planners, writing items, saddles, bridles, riding objects and clothing, among others; clothes, shoes, and accessories; silk and textile products; clocks and watchmaking articles; perfumes and beauty products; and other products mainly includes jewelry and home decoration products. The subsidiaries of the Company are Castille Investissements, Compagnie Hermes de Participations, Comptoir Nouveau de la Parfumerie, and Grafton Immobilier, among others. The Company operates through stores worldwide.</v>
    <v>25697</v>
    <v>Euronext Paris</v>
    <v>XPAR</v>
    <v>XPAR</v>
    <v>24 rue du Faubourg Saint Honore, PARIS, ILE-DE-FRANCE, 75008 FR</v>
    <v>2170</v>
    <v>Textiles &amp; Apparel</v>
    <v>Stock</v>
    <v>46066.708333333336</v>
    <v>88</v>
    <v>2124</v>
    <v>236264300000</v>
    <v>Hermes International SCA</v>
    <v>Hermes International SCA</v>
    <v>2166</v>
    <v>50.382399999999997</v>
    <v>2174</v>
    <v>2147</v>
    <v>105569400</v>
    <v>RMS</v>
    <v>Hermes International SCA (XPAR:RMS)</v>
    <v>67806</v>
    <v>59120</v>
    <v>1957</v>
  </rv>
  <rv s="2">
    <v>89</v>
  </rv>
  <rv s="0">
    <v>https://www.bing.com/financeapi/forcetrigger?t=amfy2w&amp;q=BMEX%3aITX&amp;form=skydnc</v>
    <v>Learn more on Bing</v>
  </rv>
  <rv s="1">
    <v>en-US</v>
    <v>amfy2w</v>
    <v>268435456</v>
    <v>1</v>
    <v>Powered by Refinitiv</v>
    <v>0</v>
    <v>Industria de Diseno Textil SA (BMEX:ITX)</v>
    <v>2</v>
    <v>14</v>
    <v>Finance</v>
    <v>15</v>
    <v>58.14</v>
    <v>40.799999999999997</v>
    <v>1.1144000000000001</v>
    <v>-0.4</v>
    <v>-6.9610000000000002E-3</v>
    <v>EUR</v>
    <v>Industria de Diseno Textil SA, known as Inditex SA, is a Spain-based company primarily engaged in the textile industry. The Company’s activities include the design, confection, manufacturing, distribution and retail of men, women and children apparel, footwear and fashion accessories, as well as home furnishings and household textile products. The Company’s business is divided into three segments: Zara, offering fashion, with a wide range of products for apparel and home; Bershka, which targets young consumer segment with fashion items and Others which retails apparel. The Company operates worldwide through eight brands: Zara, Pull&amp;Bear, Massimo Dutti, Bershka, Stradivarius, Oysho, Zara Home and Uterque. It offers its products in approximately 215 markets through its online platform and through its physical stores in 95 countries. Company is controlled by Pontegadea Inversiones SL.</v>
    <v>162083</v>
    <v>Bolsas y Mercados Espanoles</v>
    <v>BMEX</v>
    <v>BMEX</v>
    <v>Edificio Inditex, Avda. Diputacion, s/n, ARTEIXO, LA CORUNA, 15143 ES</v>
    <v>58.02</v>
    <v>Specialty Retailers</v>
    <v>Stock</v>
    <v>46066.709432870368</v>
    <v>91</v>
    <v>56.9</v>
    <v>178023200000</v>
    <v>Industria de Diseno Textil SA</v>
    <v>Industria de Diseno Textil SA</v>
    <v>58</v>
    <v>29.652200000000001</v>
    <v>57.46</v>
    <v>57.06</v>
    <v>3116652000</v>
    <v>ITX</v>
    <v>Industria de Diseno Textil SA (BMEX:ITX)</v>
    <v>1481419</v>
    <v>1495800</v>
    <v>1985</v>
  </rv>
  <rv s="2">
    <v>92</v>
  </rv>
  <rv s="0">
    <v>https://www.bing.com/financeapi/forcetrigger?t=aaj9nm&amp;q=XWBO%3aKER&amp;form=skydnc</v>
    <v>Learn more on Bing</v>
  </rv>
  <rv s="6">
    <v>en-US</v>
    <v>aaj9nm</v>
    <v>268435456</v>
    <v>1</v>
    <v>Powered by Refinitiv</v>
    <v>10</v>
    <v>Kering SA (XWBO:KER)</v>
    <v>2</v>
    <v>16</v>
    <v>Finance</v>
    <v>15</v>
    <v>1.5654999999999999</v>
    <v>2.15</v>
    <v>7.698E-3</v>
    <v>EUR</v>
    <v>Kering SA is a France-based company that mainly active in fashion group on luxurious branded products. The Group manages the development of a series of renowned Houses in Fashion, Leather Goods and Jewelry: Gucci, Saint Laurent, Bottega Veneta, Balenciaga, Alexander McQueen, Brioni, Boucheron, Pomellato, DoDo, Ginori 1735, as well as Kering Eyewear and Kering Beaute. It manufactures and sell, mostly through managed retail stores, an array of products, including leather goods, apparel, accessories, footwear, jewelry among others, for man, woman, and children. The Group is actively working in globally.</v>
    <v>43731</v>
    <v>Wiener Boerse</v>
    <v>XWBO</v>
    <v>XWBO</v>
    <v>40 Rue de Sevres, PARIS, ILE-DE-FRANCE, 75007 FR</v>
    <v>286.45</v>
    <v>Specialty Retailers</v>
    <v>Stock</v>
    <v>46066</v>
    <v>94</v>
    <v>278.89999999999998</v>
    <v>38167880000</v>
    <v>Kering SA</v>
    <v>Kering SA</v>
    <v>278.89999999999998</v>
    <v>475.49</v>
    <v>279.3</v>
    <v>281.45</v>
    <v>123420800</v>
    <v>KER</v>
    <v>Kering SA (XWBO:KER)</v>
    <v>322</v>
    <v>334270</v>
    <v>1955</v>
  </rv>
  <rv s="2">
    <v>95</v>
  </rv>
  <rv s="0">
    <v>https://www.bing.com/financeapi/forcetrigger?t=afft2w&amp;q=XFRA%3aMMO&amp;form=skydnc</v>
    <v>Learn more on Bing</v>
  </rv>
  <rv s="1">
    <v>en-US</v>
    <v>afft2w</v>
    <v>268435456</v>
    <v>1</v>
    <v>Powered by Refinitiv</v>
    <v>0</v>
    <v>MITSUBISHI MOTORS CORPORATION (XFRA:MMO)</v>
    <v>2</v>
    <v>20</v>
    <v>Finance</v>
    <v>15</v>
    <v>7.22</v>
    <v>1.5024999999999999</v>
    <v>1.1014999999999999</v>
    <v>2.9000000000000001E-2</v>
    <v>1.2103999999999998E-2</v>
    <v>EUR</v>
    <v>Mitsubishi Motors Corp is engaged in the development, production and sale of automobile and related parts, as well as the financial business. The Company operates in two business segments. The Automobile segment is engaged in the manufacture of general and small-sized passenger vehicles and light vehicles, the sale of parts, new car inspection, maintenance and logistics of parts in domestic markets, and the manufacturing and sales in overseas market. Its major products include electric vehicles, sports utility vehicles (SUVs) and pickups, passenger cars and minivans, and light vehicles. The Financing segment is engaged in the automobile leasing business and sales finance business.</v>
    <v>28572</v>
    <v>Deutsche Boerse AG</v>
    <v>XFRA</v>
    <v>XFRA</v>
    <v>msb Tamachi, Tamachi Station Tower S, 3-1-21, Shibaura, MINATO-KU, TOKYO-TO, 108-8410 JP</v>
    <v>2.4249999999999998</v>
    <v>Automobiles &amp; Auto Parts</v>
    <v>Stock</v>
    <v>46066.878472222219</v>
    <v>97</v>
    <v>2.4249999999999998</v>
    <v>555127300000</v>
    <v>MITSUBISHI MOTORS CORPORATION</v>
    <v>MITSUBISHI MOTORS CORPORATION</v>
    <v>2.4249999999999998</v>
    <v>184.02</v>
    <v>2.3959999999999999</v>
    <v>2.4249999999999998</v>
    <v>1460477000</v>
    <v>MMO</v>
    <v>MITSUBISHI MOTORS CORPORATION (XFRA:MMO)</v>
    <v>2370</v>
    <v>16498370</v>
    <v>1970</v>
  </rv>
  <rv s="2">
    <v>98</v>
  </rv>
  <rv s="0">
    <v>https://www.bing.com/financeapi/forcetrigger?t=aaixk2&amp;q=XWBO%3aMBG&amp;form=skydnc</v>
    <v>Learn more on Bing</v>
  </rv>
  <rv s="6">
    <v>en-US</v>
    <v>aaixk2</v>
    <v>268435456</v>
    <v>1</v>
    <v>Powered by Refinitiv</v>
    <v>10</v>
    <v>Mercedes-Benz Group AG (XWBO:MBG)</v>
    <v>2</v>
    <v>16</v>
    <v>Finance</v>
    <v>15</v>
    <v>1.0024999999999999</v>
    <v>1.1499999999999999</v>
    <v>2.0218E-2</v>
    <v>EUR</v>
    <v>Mercedes-Benz Group AG, formerly Daimler AG (Daimler), is a Germany-based automotive engineering company. The Company engages in the development, production and distribution of cars and vans in Germany. The segments include Mercedes-Benz Cars, Mercedes-Benz Vans and Mercedes-Benz Mobility. The Mercedes-Benz Cars segment includes vehicles of the Mercedes-Benz brand, Mercedes-AMG and Mercedes-Maybach, as well as the G-Class product brand. The Mercedes-Benz Vans sells vans under the brand name Mercedes-Benz, as well as corresponding spare parts and accessories. The Mercedes-Benz Mobility segment supports the sales of the Mercedes-Benz Group’s vehicle brands with customized financial and mobility services such as leasing, financing contracts, insurance, flexible subscription and rental models to fleet management services and digital services related to charging and payment.</v>
    <v>163132</v>
    <v>Wiener Boerse</v>
    <v>XWBO</v>
    <v>XWBO</v>
    <v>Mercedesstrasse 120, STUTTGART, BADEN-WUERTTEMBERG, 70372 DE</v>
    <v>58.03</v>
    <v>Automobiles &amp; Auto Parts</v>
    <v>Stock</v>
    <v>46066</v>
    <v>100</v>
    <v>56.46</v>
    <v>57639410000</v>
    <v>Mercedes-Benz Group AG</v>
    <v>Mercedes-Benz Group AG</v>
    <v>56.69</v>
    <v>10.65</v>
    <v>56.88</v>
    <v>58.03</v>
    <v>962903700</v>
    <v>MBG</v>
    <v>Mercedes-Benz Group AG (XWBO:MBG)</v>
    <v>1269</v>
    <v>2993500</v>
    <v>1998</v>
  </rv>
  <rv s="2">
    <v>101</v>
  </rv>
  <rv s="0">
    <v>https://www.bing.com/financeapi/forcetrigger?t=bxl6bh&amp;q=XWBO%3aSTLA&amp;form=skydnc</v>
    <v>Learn more on Bing</v>
  </rv>
  <rv s="6">
    <v>en-US</v>
    <v>bxl6bh</v>
    <v>268435456</v>
    <v>1</v>
    <v>Powered by Refinitiv</v>
    <v>10</v>
    <v>Stellantis NV (XWBO:STLA)</v>
    <v>2</v>
    <v>16</v>
    <v>Finance</v>
    <v>15</v>
    <v>1.6463000000000001</v>
    <v>4.5999999999999999E-2</v>
    <v>6.9589999999999999E-3</v>
    <v>EUR</v>
    <v>Stellantis N.V., formerly Fiat Chrysler Automobiles N.V., is a holding Company based in the Netherlands and operates as an automaker and a mobility provider. The Company is engaged in designing, engineering, manufacturing, distributing and selling vehicles, components and production systems. The Company has industrial operations in more than 30 countries and sells its vehicles directly or through distributors and dealers in more than 130 countries. The Company designs, manufactures, distributes and sells vehicles for the mass-market under the Abarth, Alfa Romeo, Chrysler, Dodge, Fiat, Fiat Professional, Jeep, Lancia and Ram brands. In addition, the Company designs, manufactures, distributes and sells luxury vehicles under the Maserati brand. The Company's brand portfolio also includes Peugeot, Citroen, DS Automobiles, Opel and Vauxhall. It offers a wide variety of vehicle choices from luxury and mainstream passenger vehicles to pickup trucks, sport utility vehicle (SUVs).</v>
    <v>248243</v>
    <v>Wiener Boerse</v>
    <v>XWBO</v>
    <v>XWBO</v>
    <v>Taurusavenue 1, HOOFDDORP, NOORD-HOLLAND, 2132 LS NL</v>
    <v>6.6920000000000002</v>
    <v>Automobiles &amp; Auto Parts</v>
    <v>Stock</v>
    <v>46066</v>
    <v>103</v>
    <v>6.54</v>
    <v>25186840000</v>
    <v>Stellantis NV</v>
    <v>Stellantis NV</v>
    <v>6.6520000000000001</v>
    <v>0</v>
    <v>6.61</v>
    <v>6.6559999999999997</v>
    <v>2903716000</v>
    <v>STLA</v>
    <v>Stellantis NV (XWBO:STLA)</v>
    <v>28432</v>
    <v>58760650</v>
    <v>2014</v>
  </rv>
  <rv s="2">
    <v>104</v>
  </rv>
  <rv s="0">
    <v>https://www.bing.com/financeapi/forcetrigger?t=afnpvh&amp;q=XFRA%3aVOW3&amp;form=skydnc</v>
    <v>Learn more on Bing</v>
  </rv>
  <rv s="1">
    <v>en-US</v>
    <v>afnpvh</v>
    <v>268435456</v>
    <v>1</v>
    <v>Powered by Refinitiv</v>
    <v>0</v>
    <v>Volkswagen AG (XFRA:VOW3)</v>
    <v>2</v>
    <v>14</v>
    <v>Finance</v>
    <v>15</v>
    <v>250</v>
    <v>79.2</v>
    <v>1.6652</v>
    <v>0.45</v>
    <v>4.3819999999999996E-3</v>
    <v>EUR</v>
    <v>Volkswagen AG is a Germany-based company, which manufactures and sells vehicles. The Group consists of two divisions: the Automotive Division and the Financial Services Division. The Automotive Division comprises the Passenger Cars, Commercial Vehicles and Power Engineering business areas. This division focuses on the development of vehicles, engines and vehicle software, the production and sale of passenger cars, light commercial vehicles, trucks, buses, and motorcycles, as well as businesses for genuine parts, large-bore diesel engines, turbomachinery, and propulsion components. The Financial Services Division focuses on dealer and customer financing, leasing, direct banking, and insurance activities, fleet management and mobility services. Its brand portfolio includes Volkswagen, Audi, SEAT, SKODA, Bentley, Lamborghini, Porsche, Ducati, Volkswagen Commercial Vehicles, Scania, and MAN.</v>
    <v>666852</v>
    <v>Deutsche Boerse AG</v>
    <v>XFRA</v>
    <v>XFRA</v>
    <v>Berliner Ring 2, WOLFSBURG, NIEDERSACHSEN, 38440 DE</v>
    <v>103.85</v>
    <v>Automobiles &amp; Auto Parts</v>
    <v>Stock</v>
    <v>46066.878472222219</v>
    <v>106</v>
    <v>101.8</v>
    <v>51536360000</v>
    <v>Volkswagen AG</v>
    <v>Volkswagen AG</v>
    <v>101.8</v>
    <v>7.79</v>
    <v>102.7</v>
    <v>103.15</v>
    <v>501295300</v>
    <v>VOW3</v>
    <v>Volkswagen AG (XFRA:VOW3)</v>
    <v>1059</v>
    <v>54340</v>
    <v>1961</v>
  </rv>
  <rv s="2">
    <v>107</v>
  </rv>
  <rv s="0">
    <v>https://www.bing.com/financeapi/forcetrigger?t=aajuk2&amp;q=XWBO%3aZAL&amp;form=skydnc</v>
    <v>Learn more on Bing</v>
  </rv>
  <rv s="6">
    <v>en-US</v>
    <v>aajuk2</v>
    <v>268435456</v>
    <v>1</v>
    <v>Powered by Refinitiv</v>
    <v>10</v>
    <v>Zalando SE (XWBO:ZAL)</v>
    <v>2</v>
    <v>16</v>
    <v>Finance</v>
    <v>15</v>
    <v>1.9691000000000001</v>
    <v>0.24</v>
    <v>1.1616999999999999E-2</v>
    <v>EUR</v>
    <v>Zalando SE is a Germany-based online European platform for fashion and lifestyle e-commerce. The Company offers a portfolio of women, men and children clothing. Its assortment comprises a range of shoes, clothes, accessories, beauty products and sports goods from more than 6,000 brands. Zalando is operating under two segments such as Business-to-Consumer (B2C) and Business-to-Business (B2B). Zalando is providing multi-brand shopping experience for fashion and lifestyle products to customers in B2C. In B2B it is providing logistics infrastructure, software, and services to support brands and retailers in managing and scaling their entire e-commerce business.</v>
    <v>16117</v>
    <v>Wiener Boerse</v>
    <v>XWBO</v>
    <v>XWBO</v>
    <v>Valeska-Gert-Strasse 5, BERLIN, BERLIN, 10243 DE</v>
    <v>20.9</v>
    <v>Software &amp; IT Services</v>
    <v>Stock</v>
    <v>46066</v>
    <v>109</v>
    <v>20.52</v>
    <v>6969121000</v>
    <v>Zalando SE</v>
    <v>Zalando SE</v>
    <v>20.9</v>
    <v>22.4</v>
    <v>20.66</v>
    <v>20.9</v>
    <v>264182000</v>
    <v>ZAL</v>
    <v>Zalando SE (XWBO:ZAL)</v>
    <v>100</v>
    <v>2299210</v>
    <v>2014</v>
  </rv>
  <rv s="2">
    <v>110</v>
  </rv>
  <rv s="0">
    <v>https://www.bing.com/financeapi/forcetrigger?t=aapy4c&amp;q=XBRU%3aABI&amp;form=skydnc</v>
    <v>Learn more on Bing</v>
  </rv>
  <rv s="1">
    <v>en-US</v>
    <v>aapy4c</v>
    <v>268435456</v>
    <v>1</v>
    <v>Powered by Refinitiv</v>
    <v>0</v>
    <v>Anheuser-Busch Inbev SA (XBRU:ABI)</v>
    <v>2</v>
    <v>14</v>
    <v>Finance</v>
    <v>15</v>
    <v>68.64</v>
    <v>48.67</v>
    <v>0.86429999999999996</v>
    <v>-0.86</v>
    <v>-1.2546999999999999E-2</v>
    <v>EUR</v>
    <v>Anheuser-Busch Inbev SA is a Belgium-based company. The Company is primarily engaged in the manufacturing of beer. The Company operates through six segments: North America, Middle Americas, South America, EMEA, Asia Pacific, Global Export and Holding companies. The Company's brand portfolio includes global brands, such as Budweiser, Corona and Stella Artois; international brands, including Beck's, Leffe and Hoegaarden, and local champions, such as Bud Light, Skol, Brahma, Antarctica, Quilmes, Victoria, Modelo Especial, Michelob Ultra, Harbin, Sedrin, Klinskoye, Sibirskaya Korona, Chernigivske, Cass and Jupiler. The Company's soft drinks business consists of both own production and agreements with PepsiCo related to bottling and distribution arrangements between its various subsidiaries and PepsiCo. Ambev, which is a subsidiary of the Company, is a PepsiCo bottler. Brands that are distributed under these agreements are Pepsi, 7UP and Gatorade.</v>
    <v>136805</v>
    <v>Euronext Brussels</v>
    <v>XBRU</v>
    <v>XBRU</v>
    <v>Brouwerijplein 1B, LEUVEN (LOUVAIN), VLAAMS-BRABANT, 3000 BE</v>
    <v>67.88</v>
    <v>Beverages</v>
    <v>Stock</v>
    <v>46066.708333333336</v>
    <v>112</v>
    <v>66.58</v>
    <v>103353100000</v>
    <v>Anheuser-Busch Inbev SA</v>
    <v>Anheuser-Busch Inbev SA</v>
    <v>67.5</v>
    <v>23.368600000000001</v>
    <v>68.540000000000006</v>
    <v>67.680000000000007</v>
    <v>1797203000</v>
    <v>ABI</v>
    <v>Anheuser-Busch Inbev SA (XBRU:ABI)</v>
    <v>2951731</v>
    <v>2218860</v>
    <v>1977</v>
  </rv>
  <rv s="2">
    <v>113</v>
  </rv>
  <rv s="0">
    <v>https://www.bing.com/financeapi/forcetrigger?t=ae7vjc&amp;q=XPAR%3aBN&amp;form=skydnc</v>
    <v>Learn more on Bing</v>
  </rv>
  <rv s="1">
    <v>en-US</v>
    <v>ae7vjc</v>
    <v>268435456</v>
    <v>1</v>
    <v>Powered by Refinitiv</v>
    <v>0</v>
    <v>Danone SA (XPAR:BN)</v>
    <v>2</v>
    <v>14</v>
    <v>Finance</v>
    <v>15</v>
    <v>80.14</v>
    <v>63.52</v>
    <v>0.3906</v>
    <v>0.04</v>
    <v>5.5340000000000001E-4</v>
    <v>EUR</v>
    <v>Danone SA is a France-based global food and beverage company. It operates through four segments: Essential Dairy and Plant-Based Products (EDP), Waters and Specialized Nutrition, including Early Life Nutrition and Medical Nutrition. EDP produces and distributes fresh fermented dairy products and other dairy specialties, plant-based products and beverages, coffee creamers and organic products; Waters sells bottled water and water sold in small and large containers; Early Life Nutrition offers baby formula (infant milk formula, follow-on milk, growing up milks), milk and fruit-based desserts, cereals, jars of baby food and ready-made baby food; Advanced Medical Nutrition offers adult or pediatric clinical nutrition products to be taken orally or through a tube in the event of malnutrition related to illness or other causes. The Company’s brands portfolio includes Activia, Actimel, Alpro, Danette, Danonino, Danio, evian, Volvic, Nutrilon/Aptamil, Nutricia, and others.</v>
    <v>90000</v>
    <v>Euronext Paris</v>
    <v>XPAR</v>
    <v>XPAR</v>
    <v>59-61 rue La Fayette, PARIS, ILE-DE-FRANCE, 75009 FR</v>
    <v>72.680000000000007</v>
    <v>Food &amp; Tobacco</v>
    <v>Stock</v>
    <v>46066.708333333336</v>
    <v>115</v>
    <v>71.58</v>
    <v>52862590000</v>
    <v>Danone SA</v>
    <v>Danone SA</v>
    <v>72.16</v>
    <v>25.290400000000002</v>
    <v>72.28</v>
    <v>72.319999999999993</v>
    <v>681394500</v>
    <v>BN</v>
    <v>Danone SA (XPAR:BN)</v>
    <v>1690092</v>
    <v>1913480</v>
    <v>1955</v>
  </rv>
  <rv s="2">
    <v>116</v>
  </rv>
  <rv s="0">
    <v>https://www.bing.com/financeapi/forcetrigger?t=ae9qim&amp;q=XPAR%3aOR&amp;form=skydnc</v>
    <v>Learn more on Bing</v>
  </rv>
  <rv s="1">
    <v>en-US</v>
    <v>ae9qim</v>
    <v>268435456</v>
    <v>1</v>
    <v>Powered by Refinitiv</v>
    <v>0</v>
    <v>L'Oreal SA (XPAR:OR)</v>
    <v>2</v>
    <v>14</v>
    <v>Finance</v>
    <v>15</v>
    <v>408.35</v>
    <v>326.64999999999998</v>
    <v>0.93779999999999997</v>
    <v>-19.3</v>
    <v>-4.9279000000000003E-2</v>
    <v>EUR</v>
    <v>L'Oreal SA is a France-based cosmetic group company. The Company is predominantly engaged and offers skin care products, makeup products, hair care products, perfumes, colouring products and others. Its products are marketed through mass distribution and distance selling, selective distribution, hair salons and pharmacies. Its cosmetics division is organized into four divisions, consumer cosmetics: brands L'Oral paris, Garnier, Maybelline New York and NYX professional makeup, Stylenanda, Essie and Mixa, luxury cosmetics: Lancome, Kiehl's, Giorgio Armani Beauty, Yves Saint Laurent Beaute, Biotherm, Helena Rubinstein, Shu Uemura, IT Cosmetics, Urban Decay, Ralph Lauren, Mugler, Viktor&amp;Rolf, Valentino, Azzaro, Prada, Takami and Aesop, active cosmetic products : La Roche-Posay, Vichy, CeraVe, SkinCeuticals and Skinbetter Science and professional products : L'Oreal Professionnel, Kerastase, Redken, Matrix and PureOlogy.</v>
    <v>94397</v>
    <v>Euronext Paris</v>
    <v>XPAR</v>
    <v>XPAR</v>
    <v>41 rue Martre, Clichy Cedex, CLICHY, ILE-DE-FRANCE, 92117 FR</v>
    <v>379.625</v>
    <v>Personal &amp; Household Products &amp; Services</v>
    <v>Stock</v>
    <v>46066.708333333336</v>
    <v>118</v>
    <v>364</v>
    <v>208922700000</v>
    <v>L'Oreal SA</v>
    <v>L'Oreal SA</v>
    <v>369.5</v>
    <v>34.172699999999999</v>
    <v>391.65</v>
    <v>372.35</v>
    <v>533783000</v>
    <v>OR</v>
    <v>L'Oreal SA (XPAR:OR)</v>
    <v>644004</v>
    <v>366700</v>
    <v>1963</v>
  </rv>
  <rv s="2">
    <v>119</v>
  </rv>
  <rv s="0">
    <v>https://www.bing.com/financeapi/forcetrigger?t=aaj16h&amp;q=XWBO%3aENEL&amp;form=skydnc</v>
    <v>Learn more on Bing</v>
  </rv>
  <rv s="6">
    <v>en-US</v>
    <v>aaj16h</v>
    <v>268435456</v>
    <v>1</v>
    <v>Powered by Refinitiv</v>
    <v>10</v>
    <v>Enel SpA (XWBO:ENEL)</v>
    <v>2</v>
    <v>16</v>
    <v>Finance</v>
    <v>15</v>
    <v>0.76049999999999995</v>
    <v>4.1000000000000002E-2</v>
    <v>4.4280000000000005E-3</v>
    <v>EUR</v>
    <v>Enel SpA is an Italy-based multinational company primarily engaged in power distribution segment and an integrated operator in the global power, gas and renewables markets. The Company is active in Europe and is present in more than 30 countries, producing energy with over 68 gigawatt (GW) of installed capacity. Enel distributes electricity through a network of over 2.2 million kilometers, supplying over 70 million business and household end users globally. Enel's renewables arm Enel Green Power supplies energy of wind, solar, geothermal and hydropower plants installed in Europe, the Americas, Africa, Asia and Oceania. Enel X is Enel's global business line focusing on energy-related products and services including distribution systems and batteries, smart lighting and energy and electric mobility.</v>
    <v>61192</v>
    <v>Wiener Boerse</v>
    <v>XWBO</v>
    <v>XWBO</v>
    <v>Viale Regina Margherita, 137, ROMA, ROMA, 00198 IT</v>
    <v>9.3480000000000008</v>
    <v>Electrical Utilities &amp; IPPs</v>
    <v>Stock</v>
    <v>46037</v>
    <v>121</v>
    <v>9.298</v>
    <v>94062130000</v>
    <v>Enel SpA</v>
    <v>Enel SpA</v>
    <v>9.298</v>
    <v>15.81</v>
    <v>9.2590000000000003</v>
    <v>9.3000000000000007</v>
    <v>10166680000</v>
    <v>ENEL</v>
    <v>Enel SpA (XWBO:ENEL)</v>
    <v>50</v>
    <v>23067750</v>
    <v>1989</v>
  </rv>
  <rv s="2">
    <v>122</v>
  </rv>
  <rv s="0">
    <v>https://www.bing.com/financeapi/forcetrigger?t=ajezf2&amp;q=XMIL%3aENI&amp;form=skydnc</v>
    <v>Learn more on Bing</v>
  </rv>
  <rv s="9">
    <v>en-US</v>
    <v>ajezf2</v>
    <v>268435456</v>
    <v>1</v>
    <v>Powered by Refinitiv</v>
    <v>21</v>
    <v>Eni SpA (XMIL:ENI)</v>
    <v>2</v>
    <v>22</v>
    <v>Finance</v>
    <v>23</v>
    <v>18.440000000000001</v>
    <v>11.01</v>
    <v>0.78159999999999996</v>
    <v>8.2000000000000003E-2</v>
    <v>4.5300000000000002E-3</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Borsa Italiana</v>
    <v>XMIL</v>
    <v>XMIL</v>
    <v>Piazza Ezio Vanoni, 1, SAN DONATO MILANESE, MILANO, 20097 IT</v>
    <v>18.198</v>
    <v>Oil &amp; Gas</v>
    <v>Stock</v>
    <v>46066.708333333336</v>
    <v>124</v>
    <v>17.916</v>
    <v>51688770000</v>
    <v>Eni SpA</v>
    <v>Eni SpA</v>
    <v>18.010000000000002</v>
    <v>19.991199999999999</v>
    <v>18.102</v>
    <v>18.184000000000001</v>
    <v>3146765000</v>
    <v>ENI</v>
    <v>Eni SpA (XMIL:ENI)</v>
    <v>9104917</v>
    <v>9764410</v>
  </rv>
  <rv s="2">
    <v>125</v>
  </rv>
  <rv s="0">
    <v>https://www.bing.com/financeapi/forcetrigger?t=a24e9c&amp;q=XNYS%3aTTE&amp;form=skydnc</v>
    <v>Learn more on Bing</v>
  </rv>
  <rv s="10">
    <v>en-US</v>
    <v>a24e9c</v>
    <v>268435456</v>
    <v>1</v>
    <v>Powered by Refinitiv</v>
    <v>24</v>
    <v>TotalEnergies SE (XNYS:TTE)</v>
    <v>2</v>
    <v>25</v>
    <v>Finance</v>
    <v>26</v>
    <v>77.77</v>
    <v>62.155000000000001</v>
    <v>0.2273</v>
    <v>0.65</v>
    <v>-8.2039999999999995E-3</v>
    <v>8.5389999999999997E-3</v>
    <v>-0.63</v>
    <v>USD</v>
    <v>TotalEnergies SE is a France-based company. The Company is predominantly engaged in the business as a worldwide oil group. Its segment divisions are divided into refining and chemistry such as refining of petroleum products and manufacture of basic chemistry and of specialty chemistry, petroleum products distribution, electricity generation from combined cycle gas plants and renewable energies, gas production, trading, transport and distribution primarily includes liquefied natural gas, natural gas, biogas, hydrogen, liquefied petroleum gas and hydrocarbon operating and production. The group is also operating in trading and sea transport of crude oil and oil products.</v>
    <v>102887</v>
    <v>New York Stock Exchange</v>
    <v>XNYS</v>
    <v>XNYS</v>
    <v>Tour Coupole - 2, place Jean Millier, Paris La Defense Cedex, PARIS, ILE-DE-FRANCE, 92078 FR</v>
    <v>76.95</v>
    <v>Oil &amp; Gas</v>
    <v>Stock</v>
    <v>46066.98716837891</v>
    <v>127</v>
    <v>75.790000000000006</v>
    <v>168003468000</v>
    <v>TotalEnergies SE</v>
    <v>TotalEnergies SE</v>
    <v>76.069999999999993</v>
    <v>12.199400000000001</v>
    <v>76.12</v>
    <v>76.77</v>
    <v>76.16</v>
    <v>2188400000</v>
    <v>TTE</v>
    <v>TotalEnergies SE (XNYS:TTE)</v>
    <v>1565429</v>
    <v>1667060</v>
    <v>1954</v>
  </rv>
  <rv s="2">
    <v>128</v>
  </rv>
  <rv s="0">
    <v>https://www.bing.com/financeapi/forcetrigger?t=af4ak2&amp;q=XFRA%3aALV&amp;form=skydnc</v>
    <v>Learn more on Bing</v>
  </rv>
  <rv s="1">
    <v>en-US</v>
    <v>af4ak2</v>
    <v>268435456</v>
    <v>1</v>
    <v>Powered by Refinitiv</v>
    <v>0</v>
    <v>Allianz SE (XFRA:ALV)</v>
    <v>2</v>
    <v>14</v>
    <v>Finance</v>
    <v>15</v>
    <v>395.1</v>
    <v>116.52</v>
    <v>0.75890000000000002</v>
    <v>-1.1000000000000001</v>
    <v>-2.9840000000000001E-3</v>
    <v>EUR</v>
    <v>Allianz SE is a Germany -based financial services company. The Company is the holding company of the Allianz Group (Allianz SE and its subsidiaries). Its segments include Property-Casualty, Life/Health, Asset Management, and Corporate and Other. The Company offers a range of reinsurance coverage, primarily to Allianz insurance entities, as well as to third-party customers. The Property-Casualty segment is primary and reinsurance business of the Allianz Group which offers a range of products and services for both private and corporate clients. The Life/Health segment offers a range of individual and group life and health insurance products. The Asset Management segment provides institutional and retail asset management products and services to external investors and provides investment management services to the Allianz Group's insurance operations. The Corporate and Other segment includes holding &amp; treasury, banking and alternative investments.</v>
    <v>156626</v>
    <v>Deutsche Boerse AG</v>
    <v>XFRA</v>
    <v>XFRA</v>
    <v>Koeniginstrasse 28, MUNICH, BAYERN, 80802 DE</v>
    <v>370.1</v>
    <v>Insurance</v>
    <v>Stock</v>
    <v>46066.878472222219</v>
    <v>130</v>
    <v>366</v>
    <v>144483100000</v>
    <v>Allianz SE</v>
    <v>Allianz SE</v>
    <v>367.6</v>
    <v>13.65</v>
    <v>368.6</v>
    <v>367.5</v>
    <v>380418900</v>
    <v>ALV</v>
    <v>Allianz SE (XFRA:ALV)</v>
    <v>2654</v>
    <v>562870</v>
    <v>2006</v>
  </rv>
  <rv s="2">
    <v>131</v>
  </rv>
  <rv s="11">
    <v>en-US</v>
    <v>cdpkp2</v>
    <v>268435456</v>
    <v>1</v>
    <v>Powered by Refinitiv</v>
    <v>27</v>
    <v>CAPSTONE COPPER CORP (NEOE:CS)</v>
    <v>28</v>
    <v>29</v>
    <v>Finance</v>
    <v>30</v>
    <v>18.02</v>
    <v>4.9800000000000004</v>
    <v>2.1993</v>
    <v>0.39</v>
    <v>2.5194000000000001E-2</v>
    <v>CAD</v>
    <v>Capstone Copper Corp. is a copper mining company. It is engaged in the production of and exploration of base metals in the United States (US), Mexico, and Chile, with a focus on copper. It owns and operates the Pinto Valley copper mine located in Arizona, USA, the Cozamin copper-silver mine located in Zacatecas, Mexico, the Mantos Blancos copper-silver mine located in the Antofagasta region, Chile, and 70% of the Mantoverde copper-gold mine, located in the Atacama region, Chile. In addition, it owns the fully permitted Santo Domingo copper-iron-gold project, located approximately 30 kilometers northeast of Mantoverde in the Atacama region, Chile, as well as a portfolio of exploration properties in the Americas. Through Compania Minera Sierra Norte S.A., it owns 100% of Sierra Norte, an iron oxide copper gold deposit located in Chile's Atacama Region, that spans over 7,000 hectares.</v>
    <v>3512</v>
    <v>NEO Exchange</v>
    <v>NEOE</v>
    <v>NEOE</v>
    <v>Suite 2100 - 510 West Georgia Street, VANCOUVER, BC, V6B 0M3 CA</v>
    <v>15.96</v>
    <v>Metals &amp; Mining</v>
    <v>Stock</v>
    <v>46066.874853321096</v>
    <v>15.16</v>
    <v>12119231829</v>
    <v>CAPSTONE COPPER CORP</v>
    <v>CAPSTONE COPPER CORP</v>
    <v>15.33</v>
    <v>15.48</v>
    <v>15.87</v>
    <v>763656700</v>
    <v>CS</v>
    <v>CAPSTONE COPPER CORP (NEOE:CS)</v>
    <v>270024</v>
    <v>4877040</v>
    <v>2022</v>
  </rv>
  <rv s="2">
    <v>133</v>
  </rv>
  <rv s="0">
    <v>https://www.bing.com/financeapi/forcetrigger?t=aais9c&amp;q=XWBO%3aBBVA&amp;form=skydnc</v>
    <v>Learn more on Bing</v>
  </rv>
  <rv s="6">
    <v>en-US</v>
    <v>aais9c</v>
    <v>268435456</v>
    <v>1</v>
    <v>Powered by Refinitiv</v>
    <v>10</v>
    <v>Banco Bilbao Vizcaya Argentaria SA (XWBO:BBVA)</v>
    <v>2</v>
    <v>16</v>
    <v>Finance</v>
    <v>15</v>
    <v>1.5153000000000001</v>
    <v>-0.64500000000000002</v>
    <v>-3.2476999999999999E-2</v>
    <v>EUR</v>
    <v>Banco Bilbao Vizcaya Argentaria, S.A. (BBVA) is a Spain - based bank. It is a diversified financial company engaged in retail banking, wholesale banking, asset management and private banking. Its segments are: Spain, the United States, Turkey, Mexico, South America and Rest of Eurasia. The activities in Spain are banking activity and Insurance. In the United States it offers services through, BBVA USA and the BBVA New York branch. The Turkey segment is represented by the group Garanti BBVA, an integrated financial services group, that also operate in Holland and Romania. The Mexico segment activities include banking and insurance businesses. In South America, it provides banking and insurance businesses. The Rest of Eurasia segment includes business activity in the rest of Europe and Asia</v>
    <v>127174</v>
    <v>Wiener Boerse</v>
    <v>XWBO</v>
    <v>XWBO</v>
    <v>Plaza San Nicolas, 4, BILBAO, VIZCAYA, 48005 ES</v>
    <v>19.84</v>
    <v>Banking Services</v>
    <v>Stock</v>
    <v>46066</v>
    <v>135</v>
    <v>19.094999999999999</v>
    <v>119945400000</v>
    <v>Banco Bilbao Vizcaya Argentaria SA</v>
    <v>Banco Bilbao Vizcaya Argentaria SA</v>
    <v>19.8</v>
    <v>11.31</v>
    <v>19.86</v>
    <v>19.215</v>
    <v>5708969000</v>
    <v>BBVA</v>
    <v>Banco Bilbao Vizcaya Argentaria SA (XWBO:BBVA)</v>
    <v>6982</v>
    <v>11238210</v>
    <v>1988</v>
  </rv>
  <rv s="2">
    <v>136</v>
  </rv>
  <rv s="0">
    <v>https://www.bing.com/financeapi/forcetrigger?t=aaitsm&amp;q=XWBO%3aBNP&amp;form=skydnc</v>
    <v>Learn more on Bing</v>
  </rv>
  <rv s="6">
    <v>en-US</v>
    <v>aaitsm</v>
    <v>268435456</v>
    <v>1</v>
    <v>Powered by Refinitiv</v>
    <v>10</v>
    <v>BNP Paribas SA (XWBO:BNP)</v>
    <v>2</v>
    <v>16</v>
    <v>Finance</v>
    <v>15</v>
    <v>1.1217999999999999</v>
    <v>-1.35</v>
    <v>-1.4867999999999999E-2</v>
    <v>EUR</v>
    <v>BNP Paribas SA is a France-based international banking institution. The Company organizes its businesses into three main fields of activity: Corporate and Institutional Banking (CIB), Commercial, Personal Banking and Services (CPBS) and Investment and Protection Services (IPS). CIB includes Global Banking, Global Markets, and Securities Services. CPBS covers commercial and personal banking in France, Belgium, Italy, Luxembourg, and in Europe-mediterranean, it also offers specialized businesses, with Arval and Leasing Solutions, BNP Paribas Personal Finance and new digital businesses and personal investors. IPS provides services such as wealth management, asset management, real estate and principal investments.</v>
    <v>177952</v>
    <v>Wiener Boerse</v>
    <v>XWBO</v>
    <v>XWBO</v>
    <v>16 Boulevard Des Italiens, Paris 9, PARIS, ILE-DE-FRANCE, 75009 FR</v>
    <v>90.72</v>
    <v>Banking Services</v>
    <v>Stock</v>
    <v>46066</v>
    <v>138</v>
    <v>89</v>
    <v>97137940000</v>
    <v>BNP Paribas SA</v>
    <v>BNP Paribas SA</v>
    <v>90.46</v>
    <v>8.85</v>
    <v>90.8</v>
    <v>89.45</v>
    <v>1101601000</v>
    <v>BNP</v>
    <v>BNP Paribas SA (XWBO:BNP)</v>
    <v>604</v>
    <v>2568120</v>
    <v>1966</v>
  </rv>
  <rv s="2">
    <v>139</v>
  </rv>
  <rv s="0">
    <v>https://www.bing.com/financeapi/forcetrigger?t=aaixsm&amp;q=XWBO%3aDBK&amp;form=skydnc</v>
    <v>Learn more on Bing</v>
  </rv>
  <rv s="6">
    <v>en-US</v>
    <v>aaixsm</v>
    <v>268435456</v>
    <v>1</v>
    <v>Powered by Refinitiv</v>
    <v>10</v>
    <v>Deutsche Bank AG (XWBO:DBK)</v>
    <v>2</v>
    <v>16</v>
    <v>Finance</v>
    <v>15</v>
    <v>1.0969</v>
    <v>-1.105</v>
    <v>-3.5916999999999998E-2</v>
    <v>EUR</v>
    <v>Deutsche Bank Aktiengesellschaft is a bank and holding company for its subsidiaries. The Company offers a range of services such as investment, financial and related products and services to private individuals, corporate entities, and institutional clients. It operates through four business divisions: Corporate Bank, Investment Bank, Private Bank and Asset Management. The Corporate Bank division serves corporate clients and financial institutions, offering cash management, trade finance, lending, foreign exchange, trust and agency services, correspondent banking, and securities services. The Investment Bank division includes Fixed Income &amp; Currencies (FIC) Sales &amp; Trading, Origination &amp; Advisory, and Deutsche Bank Research. The Private Bank division focuses on personal and private clients, wealthy individuals, entrepreneurs and families. The Asset Management division operates under the brand DWS, and it serves a diverse client base of retail and institutional investors worldwide.</v>
    <v>89879</v>
    <v>Wiener Boerse</v>
    <v>XWBO</v>
    <v>XWBO</v>
    <v>Taunusanlage 12, FRANKFURT AM MAIN, HESSEN, 60325 DE</v>
    <v>30.765000000000001</v>
    <v>Banking Services</v>
    <v>Stock</v>
    <v>46066</v>
    <v>141</v>
    <v>29.58</v>
    <v>64367410000</v>
    <v>Deutsche Bank AG</v>
    <v>Deutsche Bank AG</v>
    <v>30.765000000000001</v>
    <v>10.37</v>
    <v>30.765000000000001</v>
    <v>29.66</v>
    <v>1910579000</v>
    <v>DBK</v>
    <v>Deutsche Bank AG (XWBO:DBK)</v>
    <v>5444</v>
    <v>6971370</v>
    <v>1952</v>
  </rv>
  <rv s="2">
    <v>142</v>
  </rv>
  <rv s="0">
    <v>https://www.bing.com/financeapi/forcetrigger?t=ajf8z2&amp;q=XMIL%3aG&amp;form=skydnc</v>
    <v>Learn more on Bing</v>
  </rv>
  <rv s="1">
    <v>en-US</v>
    <v>ajf8z2</v>
    <v>268435456</v>
    <v>1</v>
    <v>Powered by Refinitiv</v>
    <v>0</v>
    <v>Assicurazioni Generali SpA (XMIL:G)</v>
    <v>2</v>
    <v>14</v>
    <v>Finance</v>
    <v>23</v>
    <v>36.4</v>
    <v>28.17</v>
    <v>0.73629999999999995</v>
    <v>0.21</v>
    <v>6.0640000000000008E-3</v>
    <v>EUR</v>
    <v>Assicurazioni Generali SpA is an Italy-based company engaged in the insurance and financial businesses. The Company operates through three segments: Life, Non Life (property and casualty), and Holding and other business. The Life segment include saving and protection products, both individual and for families, as well as products with investments purposes for companies. The Non-life segment provides various insurance products related to casualty, accident, health, and company plans. The Holding and other business segment includes non insurance assets, mostly banking and asset management activities. The Company is active globally.</v>
    <v>87909</v>
    <v>Borsa Italiana</v>
    <v>XMIL</v>
    <v>XMIL</v>
    <v>Piazza Duca Degli Abruzzi 2, TRIESTE, TRIESTE, 34132 IT</v>
    <v>35.575000000000003</v>
    <v>Insurance</v>
    <v>Stock</v>
    <v>46066.708333333336</v>
    <v>144</v>
    <v>34.549999999999997</v>
    <v>53731040000</v>
    <v>Assicurazioni Generali SpA</v>
    <v>Assicurazioni Generali SpA</v>
    <v>35.119999999999997</v>
    <v>13.7996</v>
    <v>34.630000000000003</v>
    <v>34.840000000000003</v>
    <v>1549785000</v>
    <v>G</v>
    <v>Assicurazioni Generali SpA (XMIL:G)</v>
    <v>3291275</v>
    <v>2888400</v>
    <v>1925</v>
  </rv>
  <rv s="2">
    <v>145</v>
  </rv>
  <rv s="0">
    <v>https://www.bing.com/financeapi/forcetrigger?t=aaj8fr&amp;q=XWBO%3aINGA&amp;form=skydnc</v>
    <v>Learn more on Bing</v>
  </rv>
  <rv s="6">
    <v>en-US</v>
    <v>aaj8fr</v>
    <v>268435456</v>
    <v>1</v>
    <v>Powered by Refinitiv</v>
    <v>10</v>
    <v>ING Groep NV (XWBO:INGA)</v>
    <v>2</v>
    <v>16</v>
    <v>Finance</v>
    <v>15</v>
    <v>1.0179</v>
    <v>-0.8</v>
    <v>-3.2626000000000002E-2</v>
    <v>EUR</v>
    <v>ING Groep N.V. (ING) is a financial institution. The Company offers banking services. The Company's segments include Retail Netherlands, which offers current and savings accounts, business lending, mortgages and other consumer lending in the Netherlands; Retail Belgium, which offers products that are similar to those in the Netherlands; Retail Germany, which offers current and savings accounts, mortgages and other customer lending; Retail Other, which offers products that are similar to those in the Netherlands, and Wholesale Banking, which offers wholesale banking activities (a full range of products from cash management to corporate finance), real estate and lease. The Company's Retail Banking business lines provide products and services to individuals, small and medium-sized enterprises (SMEs) and mid-corporates. ING's banking activities in Australia are undertaken by ING Bank (Australia) Limited (trading as ING Direct) and ING Bank NV Sydney Branch.</v>
    <v>60000</v>
    <v>Wiener Boerse</v>
    <v>XWBO</v>
    <v>XWBO</v>
    <v>Bijlmerdreef 106, AMSTERDAM, NOORD-HOLLAND, 1102 CT NL</v>
    <v>24.85</v>
    <v>Banking Services</v>
    <v>Stock</v>
    <v>46066</v>
    <v>147</v>
    <v>23.72</v>
    <v>72305520000</v>
    <v>ING Groep NV</v>
    <v>ING Groep NV</v>
    <v>24.85</v>
    <v>11.57</v>
    <v>24.52</v>
    <v>23.72</v>
    <v>2920349000</v>
    <v>INGA</v>
    <v>ING Groep NV (XWBO:INGA)</v>
    <v>300</v>
    <v>7638770</v>
    <v>1991</v>
  </rv>
  <rv s="2">
    <v>148</v>
  </rv>
  <rv s="0">
    <v>https://www.bing.com/financeapi/forcetrigger?t=ajfm52&amp;q=XMIL%3aISP&amp;form=skydnc</v>
    <v>Learn more on Bing</v>
  </rv>
  <rv s="9">
    <v>en-US</v>
    <v>ajfm52</v>
    <v>268435456</v>
    <v>1</v>
    <v>Powered by Refinitiv</v>
    <v>21</v>
    <v>Intesa Sanpaolo SpA (XMIL:ISP)</v>
    <v>2</v>
    <v>22</v>
    <v>Finance</v>
    <v>23</v>
    <v>6.16</v>
    <v>3.66</v>
    <v>1.1858</v>
    <v>-0.151</v>
    <v>-2.5821E-2</v>
    <v>EUR</v>
    <v>Intesa Sanpaolo SpA is an Italy-based banking company. The Company operates through six business segments: Banca dei Territori, IMI Corporate &amp; Investment Banking, International Subsidiary Banks, Asset Management, Private Banking and Insurance. Banca dei Territori includes the traditional lending and deposit collecting activities in Italy and related financial services. IMI Corporate &amp; Investment Banking covers corporate banking, investment banking and public finance in Italy and abroad. International Subsidiary Banks oversee the Company's commercial operations in international markets through commercial banking subsidiaries and associates. Private Banking provides private and high net worth individuals with specific products and services. Asset Management develops asset management solutions. The Insurance business oversees the management of subsidiaries Intesa Sanpaolo Vita S.p.A. and Fideuram Vita S.p.A. and develops a mix of insurance products. The Bank is present globally.</v>
    <v>90679</v>
    <v>Borsa Italiana</v>
    <v>XMIL</v>
    <v>XMIL</v>
    <v>via Monte di Pieta, 8, MILANO, MILANO, 20121 IT</v>
    <v>5.883</v>
    <v>Banking Services</v>
    <v>Stock</v>
    <v>46066.708333333336</v>
    <v>150</v>
    <v>5.6459999999999999</v>
    <v>104306200000</v>
    <v>Intesa Sanpaolo SpA</v>
    <v>Intesa Sanpaolo SpA</v>
    <v>5.84</v>
    <v>11.0905</v>
    <v>5.8479999999999999</v>
    <v>5.6970000000000001</v>
    <v>17413390000</v>
    <v>ISP</v>
    <v>Intesa Sanpaolo SpA (XMIL:ISP)</v>
    <v>82763902</v>
    <v>64433130</v>
  </rv>
  <rv s="2">
    <v>151</v>
  </rv>
  <rv s="0">
    <v>https://www.bing.com/financeapi/forcetrigger?t=afg4lh&amp;q=XFRA%3aMUV2&amp;form=skydnc</v>
    <v>Learn more on Bing</v>
  </rv>
  <rv s="1">
    <v>en-US</v>
    <v>afg4lh</v>
    <v>268435456</v>
    <v>1</v>
    <v>Powered by Refinitiv</v>
    <v>0</v>
    <v>Munich Reinsurance Company (XFRA:MUV2)</v>
    <v>2</v>
    <v>14</v>
    <v>Finance</v>
    <v>15</v>
    <v>615</v>
    <v>142</v>
    <v>0.59909999999999997</v>
    <v>-11</v>
    <v>-2.0235E-2</v>
    <v>EUR</v>
    <v>Muenchener Rueckversicherungs Gesellschaft in Muenchen AG is a Germany-based company which is engaged in reinsurance and insurance business. The Company divides its operations into five segments: Life and health reinsurance, which includes global life and health reinsurance business; Property-casualty reinsurance, which includes global property-casualty reinsurance business; ERGO Life and Health Germany, which includes German life and health primary insurance business, German property-casualty direct insurance business, and global travel insurance business; ERGO Property-casualty Germany, which includes German property-casualty insurance business, excluding direct business; and ERGO International, which includes ERGO’s primary insurance business outside Germany.</v>
    <v>44043</v>
    <v>Deutsche Boerse AG</v>
    <v>XFRA</v>
    <v>XFRA</v>
    <v>Koeniginstr. 107, MUNICH, BAYERN, 80802 DE</v>
    <v>542</v>
    <v>Insurance</v>
    <v>Stock</v>
    <v>46066.878472222219</v>
    <v>153</v>
    <v>532.6</v>
    <v>67830920000</v>
    <v>Munich Reinsurance Company</v>
    <v>Munich Reinsurance Company</v>
    <v>540</v>
    <v>11.3</v>
    <v>543.6</v>
    <v>532.6</v>
    <v>130645100</v>
    <v>MUV2</v>
    <v>Munich Reinsurance Company (XFRA:MUV2)</v>
    <v>1093</v>
    <v>263300</v>
    <v>1997</v>
  </rv>
  <rv s="2">
    <v>154</v>
  </rv>
  <rv s="0">
    <v>https://www.bing.com/financeapi/forcetrigger?t=ajgrar&amp;q=XMIL%3aUCG&amp;form=skydnc</v>
    <v>Learn more on Bing</v>
  </rv>
  <rv s="9">
    <v>en-US</v>
    <v>ajgrar</v>
    <v>268435456</v>
    <v>1</v>
    <v>Powered by Refinitiv</v>
    <v>21</v>
    <v>UniCredit SpA (XMIL:UCG)</v>
    <v>2</v>
    <v>22</v>
    <v>Finance</v>
    <v>23</v>
    <v>79.790000000000006</v>
    <v>38.520000000000003</v>
    <v>1.6714</v>
    <v>-2.81</v>
    <v>-3.7900999999999997E-2</v>
    <v>EUR</v>
    <v>UniCredit SpA is an Italy-based holding company engaged in the financial sector. Its division model is based on seven business lines: Commercial Banking Italy, Central and Eastern Europe (CEE), Corporate and Investment Banking (CIB), Commercial Banking Germany, Commercial Banking Austria and Fineco. UniCredit SpA offers banking and financial services for families, individuals and corporate clients, including accounts, loans, mortgages, investments, wealth management, as well as financial advice and insurance products, among others. Through numerous subsidiaries, the Company operates in the domestic market, Germany, Austria and CEE.</v>
    <v>68710</v>
    <v>Borsa Italiana</v>
    <v>XMIL</v>
    <v>XMIL</v>
    <v>Piazza Gae Aulenti 3 - Tower A, MILANO, MILANO, 20154 IT</v>
    <v>74.44</v>
    <v>Banking Services</v>
    <v>Stock</v>
    <v>46066.708333333336</v>
    <v>156</v>
    <v>70.290000000000006</v>
    <v>111295900000</v>
    <v>UniCredit SpA</v>
    <v>UniCredit SpA</v>
    <v>74.400000000000006</v>
    <v>10.8773</v>
    <v>74.14</v>
    <v>71.33</v>
    <v>1557675000</v>
    <v>UCG</v>
    <v>UniCredit SpA (XMIL:UCG)</v>
    <v>8697701</v>
    <v>6710060</v>
  </rv>
  <rv s="2">
    <v>157</v>
  </rv>
  <rv s="0">
    <v>https://www.bing.com/financeapi/forcetrigger?t=azdhr7&amp;q=XFRA%3aSHL&amp;form=skydnc</v>
    <v>Learn more on Bing</v>
  </rv>
  <rv s="6">
    <v>en-US</v>
    <v>azdhr7</v>
    <v>268435456</v>
    <v>1</v>
    <v>Powered by Refinitiv</v>
    <v>10</v>
    <v>Siemens Healthineers AG (XFRA:SHL)</v>
    <v>2</v>
    <v>31</v>
    <v>Finance</v>
    <v>15</v>
    <v>0.88339999999999996</v>
    <v>0.42</v>
    <v>1.0381E-2</v>
    <v>EUR</v>
    <v>Siemens Healthineers AG is a Germany-based company. The Company is a global provider of healthcare products, solutions and services. It also provides clinical consulting services and training and service offerings. The Company’s segments include Imaging, Diagnostics, Varian, and Advanced Therapies. The Imaging segment offers a software solutions to support the reading and structured reporting of diagnostic images from different modalities. The Diagnostics segment offers to healthcare providers in the fields of general laboratory, specialty laboratory, and point-of-care diagnostics. The Varian segment offers a portfolio of cancer care technologies and services and support oncology departments in hospitals and clinics. The Advanced Therapies segment consists of integrated products, services and solutions used in the treatment of diseases across multiple clinical fields.</v>
    <v>72800</v>
    <v>Deutsche Boerse AG</v>
    <v>XFRA</v>
    <v>XFRA</v>
    <v>Siemensstr. 3, FORCHHEIM, BAYERN, 91301 DE</v>
    <v>40.880000000000003</v>
    <v>Healthcare Equipment &amp; Supplies</v>
    <v>Stock</v>
    <v>46066.878472222219</v>
    <v>159</v>
    <v>40</v>
    <v>52722720000</v>
    <v>Siemens Healthineers AG</v>
    <v>Siemens Healthineers AG</v>
    <v>40.229999999999997</v>
    <v>21.23</v>
    <v>40.46</v>
    <v>40.880000000000003</v>
    <v>1128000000</v>
    <v>SHL</v>
    <v>Siemens Healthineers AG (XFRA:SHL)</v>
    <v>920</v>
    <v>1665660</v>
    <v>2017</v>
  </rv>
  <rv s="2">
    <v>160</v>
  </rv>
  <rv s="0">
    <v>https://www.bing.com/financeapi/forcetrigger?t=alohm7&amp;q=XAMS%3aPHIA&amp;form=skydnc</v>
    <v>Learn more on Bing</v>
  </rv>
  <rv s="1">
    <v>en-US</v>
    <v>alohm7</v>
    <v>268435456</v>
    <v>1</v>
    <v>Powered by Refinitiv</v>
    <v>0</v>
    <v>Koninklijke Philips NV (XAMS:PHIA)</v>
    <v>2</v>
    <v>14</v>
    <v>Finance</v>
    <v>15</v>
    <v>27.7</v>
    <v>18.899999999999999</v>
    <v>0.7087</v>
    <v>-0.5</v>
    <v>-1.8762000000000001E-2</v>
    <v>EUR</v>
    <v>Koninklijke Philips NV is a Netherlands-based health technology company. The Company's segments include Personal Health businesses, Diagnosis &amp; Treatment businesses, Connected Care businesses and Other. The Personal Health businesses segment is engaged in the health continuum, delivering integrated, connected solutions that support healthier lifestyles and those living with chronic disease as well as oral healthcare and mother and child care support. The Diagnosis &amp; Treatment businesses segment delivers precision medicine and treatment, and therapy. The Connected Care businesses segment provides consumers, care givers and clinicians with digital solutions that facilitate care by enabling precision medicine and population health management. The Other segment comprises such items, as innovation, emerging businesses, royalties, among others.</v>
    <v>64817</v>
    <v>Euronext Amsterdam</v>
    <v>XAMS</v>
    <v>XAMS</v>
    <v>High Tech Campus 5, EINDHOVEN, NOORD-BRABANT, 5656 AE NL</v>
    <v>26.62</v>
    <v>Healthcare Equipment &amp; Supplies</v>
    <v>Stock</v>
    <v>46066.708333333336</v>
    <v>162</v>
    <v>26.03</v>
    <v>24689270000</v>
    <v>Koninklijke Philips NV</v>
    <v>Koninklijke Philips NV</v>
    <v>26.6</v>
    <v>28.052600000000002</v>
    <v>26.65</v>
    <v>26.15</v>
    <v>962930100</v>
    <v>PHIA</v>
    <v>Koninklijke Philips NV (XAMS:PHIA)</v>
    <v>1864633</v>
    <v>2336570</v>
    <v>2000</v>
  </rv>
  <rv s="2">
    <v>163</v>
  </rv>
  <rv s="0">
    <v>https://www.bing.com/financeapi/forcetrigger?t=ae9ya2&amp;q=XPAR%3aSAN&amp;form=skydnc</v>
    <v>Learn more on Bing</v>
  </rv>
  <rv s="1">
    <v>en-US</v>
    <v>ae9ya2</v>
    <v>268435456</v>
    <v>1</v>
    <v>Powered by Refinitiv</v>
    <v>0</v>
    <v>Sanofi SA (XPAR:SAN)</v>
    <v>2</v>
    <v>14</v>
    <v>Finance</v>
    <v>15</v>
    <v>110.88</v>
    <v>76.150000000000006</v>
    <v>0.60740000000000005</v>
    <v>-1.48</v>
    <v>-1.8710000000000001E-2</v>
    <v>EUR</v>
    <v>Sanofi SA is a France-based healthcare company based in France. The Company focuses on patient needs and engages in the research, development, manufacture, and marketing of therapeutic solutions. Its three operating segments are: Pharmaceuticals, Consumer Healthcare (CHC), and Vaccines. The Pharmaceuticals includes: Immunology, Multiple Sclerosis / Neurology, Oncology, Rare Diseases, Rare Blood Disorders, Cardiovascular, Diabetes, Established Prescription Products. The Vaccines segment comprises, for all geographical territories, the commercial operations of Sanofi Pasteur, together with research, development, and production activities dedicated to vaccines. The CHC segment comprises the commercial operations for Sanofi’s Consumer Healthcare products, together with research, development and production activities dedicated to those products. The Company’s products developed in collaboration or franchise include Dupixent, Aubagio, Lemtrada, Cerezyme, Lumizyme, Jevtana, Fabrazyme.</v>
    <v>84587</v>
    <v>Euronext Paris</v>
    <v>XPAR</v>
    <v>XPAR</v>
    <v>46 Avenue de la Grande Armee, PARIS, ILE-DE-FRANCE, 75017 FR</v>
    <v>79.31</v>
    <v>Pharmaceuticals</v>
    <v>Stock</v>
    <v>46066.708333333336</v>
    <v>165</v>
    <v>77.62</v>
    <v>98169920000</v>
    <v>Sanofi SA</v>
    <v>Sanofi SA</v>
    <v>78.510000000000005</v>
    <v>12.383800000000001</v>
    <v>79.099999999999994</v>
    <v>77.62</v>
    <v>1219502000</v>
    <v>SAN</v>
    <v>Sanofi SA (XPAR:SAN)</v>
    <v>3788057</v>
    <v>2802130</v>
    <v>1994</v>
  </rv>
  <rv s="2">
    <v>166</v>
  </rv>
  <rv s="0">
    <v>https://www.bing.com/financeapi/forcetrigger?t=aajkr7&amp;q=XWBO%3aSAN&amp;form=skydnc</v>
    <v>Learn more on Bing</v>
  </rv>
  <rv s="6">
    <v>en-US</v>
    <v>aajkr7</v>
    <v>268435456</v>
    <v>1</v>
    <v>Powered by Refinitiv</v>
    <v>10</v>
    <v>Banco Santander SA (XWBO:SAN)</v>
    <v>2</v>
    <v>16</v>
    <v>Finance</v>
    <v>15</v>
    <v>1.4825999999999999</v>
    <v>-0.23699999999999999</v>
    <v>-2.3157999999999998E-2</v>
    <v>EUR</v>
    <v>Banco Santander, S.A. is a Spain-based company engaged as a retail and commercial bank. The Banks segments include Continental Europe, the United Kingdom, Latin America and the United States. The Continental Europe segment covers all businesses in the Continental Europe. The United Kingdom segment includes the businesses developed by various units and branches in the country. The Latin America segment embraces all its financial activities conducted through its banks and subsidiaries in the region. The United States segment includes the Intermediate Holding Company (IHC) and its subsidiaries Santander Bank, Banco Santander Puerto Rico, Santander Consumer USA, Banco Santander International, Santander Investment Securities, and the Santander branch in New York. The Company's commercial model satisfies the needs of all types of customers: individuals with various income levels.</v>
    <v>198403</v>
    <v>Wiener Boerse</v>
    <v>XWBO</v>
    <v>XWBO</v>
    <v>CGS Av. Cantabria s/n, BOADILLA DEL MONTE, MADRID, 28660 ES</v>
    <v>10.208</v>
    <v>Banking Services</v>
    <v>Stock</v>
    <v>46066</v>
    <v>168</v>
    <v>9.9749999999999996</v>
    <v>151858200000</v>
    <v>Banco Santander SA</v>
    <v>Banco Santander SA</v>
    <v>10.186</v>
    <v>10.65</v>
    <v>10.234</v>
    <v>9.9969999999999999</v>
    <v>14689320000</v>
    <v>SAN</v>
    <v>Banco Santander SA (XWBO:SAN)</v>
    <v>3083</v>
    <v>31001350</v>
    <v>1875</v>
  </rv>
  <rv s="2">
    <v>169</v>
  </rv>
  <rv s="12">
    <v>en-US</v>
    <v>cgac9c</v>
    <v>268435456</v>
    <v>1</v>
    <v>Powered by Refinitiv</v>
    <v>32</v>
    <v>Deutsche Post AG (XFRA:DPW)</v>
    <v>28</v>
    <v>33</v>
    <v>Finance</v>
    <v>15</v>
    <v>1.2170000000000001</v>
    <v>-0.5</v>
    <v>-5.5556000000000001E-2</v>
    <v>EUR</v>
    <v>Deutsche Post AG is a Germany-based company. The Company is the parent company of DHL Group. Under the DHL and Deutsche Post brands, DHL Group provides services like international express shipping, freight transport, supply chain management, e-commerce and post and parcel services. The Group operates through five divisions: Express; Global Forwarding, Freight, Supply Chain; eCommerce; and Post &amp; Parcel Germany. The Express division offers time-definite courier and express services. The Global Forwarding, Freight division comprises international air, ocean and overland freight forwarding services. The Supply Chain division delivers customized logistics services and supply chain based on globally standardized modular components including warehousing, transport and value-added services. The eCommerce division offers international parcel delivery service. The Post &amp; Parcel Germany division transports, sorts and delivers documents and goods in and outside of Germany.</v>
    <v>582766</v>
    <v>Deutsche Boerse AG</v>
    <v>XFRA</v>
    <v>XFRA</v>
    <v>Charles-de-Gaulle-Str. 20, BONN, NORDRHEIN-WESTFALEN, 53113 DE</v>
    <v>8.5</v>
    <v>Freight &amp; Logistics Services</v>
    <v>Stock</v>
    <v>46066.878472222219</v>
    <v>8.5</v>
    <v>55050500000</v>
    <v>Deutsche Post AG</v>
    <v>Deutsche Post AG</v>
    <v>8.5</v>
    <v>9</v>
    <v>8.5</v>
    <v>1150000000</v>
    <v>DPW</v>
    <v>Deutsche Post AG (XFRA:DPW)</v>
    <v>1</v>
    <v>2217560</v>
    <v>1995</v>
  </rv>
  <rv s="2">
    <v>171</v>
  </rv>
  <rv s="0">
    <v>https://www.bing.com/financeapi/forcetrigger?t=ae9y1h&amp;q=XPAR%3aSAF&amp;form=skydnc</v>
    <v>Learn more on Bing</v>
  </rv>
  <rv s="1">
    <v>en-US</v>
    <v>ae9y1h</v>
    <v>268435456</v>
    <v>1</v>
    <v>Powered by Refinitiv</v>
    <v>0</v>
    <v>Safran SA (XPAR:SAF)</v>
    <v>2</v>
    <v>14</v>
    <v>Finance</v>
    <v>15</v>
    <v>337.3</v>
    <v>190.7</v>
    <v>1.0873999999999999</v>
    <v>25.5</v>
    <v>8.2980999999999999E-2</v>
    <v>EUR</v>
    <v>Safran SA is a France-based high-technology company that carries out research, design, development, testing, manufacturing, sales, maintenance, and support operations for its high-technology activities. The Company’s segments are: Aerospace Propulsion, Aircraft Equipment and Aircraft Interiors. The Aerospace Propulsion segment designs, develops, produces, and markets, propulsion and mechanical power transmission systems for commercial aircraft, military transport, training and combat aircraft, civil and military helicopters, satellites, and drones. It also includes maintenance, repair, and overhaul (MRO) activities and the sale of spare parts. The Aircraft Equipment segment operates in five main sectors: Landing and braking systems, Engine systems and equipment, Electrical systems, and engineering, Aerosystems, and Electronics &amp; Defense. The Aircraft Interiors segment covers seats and cabin fittings, closets, in-flight entertainment systems and flight-deck equipment.</v>
    <v>100000</v>
    <v>Euronext Paris</v>
    <v>XPAR</v>
    <v>XPAR</v>
    <v>2, Boulevard du General Martial Valin, PARIS, ILE-DE-FRANCE, 75015 FR</v>
    <v>337.3</v>
    <v>Aerospace &amp; Defense</v>
    <v>Stock</v>
    <v>46066.708333333336</v>
    <v>173</v>
    <v>319.89999999999998</v>
    <v>136296700000</v>
    <v>Safran SA</v>
    <v>Safran SA</v>
    <v>324</v>
    <v>29.8521</v>
    <v>307.3</v>
    <v>332.8</v>
    <v>418344600</v>
    <v>SAF</v>
    <v>Safran SA (XPAR:SAF)</v>
    <v>911583</v>
    <v>492940</v>
    <v>1956</v>
  </rv>
  <rv s="2">
    <v>174</v>
  </rv>
  <rv s="0">
    <v>https://www.bing.com/financeapi/forcetrigger?t=aea12w&amp;q=XPAR%3aSGO&amp;form=skydnc</v>
    <v>Learn more on Bing</v>
  </rv>
  <rv s="1">
    <v>en-US</v>
    <v>aea12w</v>
    <v>268435456</v>
    <v>1</v>
    <v>Powered by Refinitiv</v>
    <v>0</v>
    <v>Compagnie de Saint Gobain SA (XPAR:SGO)</v>
    <v>2</v>
    <v>14</v>
    <v>Finance</v>
    <v>15</v>
    <v>106.65</v>
    <v>71.92</v>
    <v>1.3903000000000001</v>
    <v>1.28</v>
    <v>1.4289000000000001E-2</v>
    <v>EUR</v>
    <v>Compagnie de Saint Gobain SA is a France-based group specialized in the design, manufacture, distribution of materials for the construction, mobility, healthcare, and industrial sectors solutions with the aim of improving wellbeing of life across the world. The Group, through its subsidiaries, operates through three sectors: Building Distribution (BD), Construction Products (CP) and Materials (IM). The BD Sector covers the distribution activities of the Company to the suppliers. The CP sector offers both interior solutions (insulation and gypsum) and exterior solutions (industrial mortars, pipes and exterior products). The IM sector provides flat glass and high-performance materials. Its solutions span from self-cleaning windows and photovoltaic glass to smart insulation systems, water supply systems with many industrial applications.</v>
    <v>161482</v>
    <v>Euronext Paris</v>
    <v>XPAR</v>
    <v>XPAR</v>
    <v>Tour Saint-Gobain, 12 place de l'Iris, La Defense Cedex, 92096 FR</v>
    <v>91.06</v>
    <v>Homebuilding &amp; Construction Supplies</v>
    <v>Stock</v>
    <v>46066.708333333336</v>
    <v>176</v>
    <v>87.64</v>
    <v>41397000000</v>
    <v>Compagnie de Saint Gobain SA</v>
    <v>Compagnie de Saint Gobain SA</v>
    <v>89.16</v>
    <v>15.8001</v>
    <v>89.58</v>
    <v>90.86</v>
    <v>494825300</v>
    <v>SGO</v>
    <v>Compagnie de Saint Gobain SA (XPAR:SGO)</v>
    <v>1436554</v>
    <v>1089890</v>
    <v>1981</v>
  </rv>
  <rv s="2">
    <v>177</v>
  </rv>
  <rv s="0">
    <v>https://www.bing.com/financeapi/forcetrigger?t=afkr7w&amp;q=XFRA%3aSIE&amp;form=skydnc</v>
    <v>Learn more on Bing</v>
  </rv>
  <rv s="1">
    <v>en-US</v>
    <v>afkr7w</v>
    <v>268435456</v>
    <v>1</v>
    <v>Powered by Refinitiv</v>
    <v>0</v>
    <v>Siemens AG (XFRA:SIE)</v>
    <v>2</v>
    <v>14</v>
    <v>Finance</v>
    <v>15</v>
    <v>275.2</v>
    <v>58.95</v>
    <v>1.3513999999999999</v>
    <v>-10.050000000000001</v>
    <v>-3.8512999999999999E-2</v>
    <v>EUR</v>
    <v>Siemens AG is a Germany-based technology company, which is focused on the areas of automation and digitalization in the process and manufacturing industries, intelligent infrastructure for buildings and distributed energy systems, smart mobility solutions for rail transport, and medical technology and digital healthcare services. The Company operates through the segments: Digital Industries, which offers products and system solutions for automation used in discrete and process industries; Smart Infrastructure, which supplies and connects energy systems and building technologies; Mobility, which combines all businesses in the area of rail passenger and rail freight transportation; Siemens Healthineers, which provides healthcare products, solutions and services; and Siemens Financial Services (SFS), which offers leasing solutions and equipment, project and structured financing in the form of debt and equity investments.</v>
    <v>317000</v>
    <v>Deutsche Boerse AG</v>
    <v>XFRA</v>
    <v>XFRA</v>
    <v>Werner-von-Siemens-Strasse 1, MUENCHEN, BAYERN, 80333 DE</v>
    <v>254.35</v>
    <v>Machinery, Equipment &amp; Components</v>
    <v>Stock</v>
    <v>46066.878472222219</v>
    <v>179</v>
    <v>246.15</v>
    <v>209400000000</v>
    <v>Siemens AG</v>
    <v>Siemens AG</v>
    <v>254.35</v>
    <v>26.55</v>
    <v>260.95</v>
    <v>250.9</v>
    <v>800000000</v>
    <v>SIE</v>
    <v>Siemens AG (XFRA:SIE)</v>
    <v>6769</v>
    <v>1432790</v>
    <v>1996</v>
  </rv>
  <rv s="2">
    <v>180</v>
  </rv>
  <rv s="0">
    <v>https://www.bing.com/financeapi/forcetrigger?t=ae8cjc&amp;q=XPAR%3aDG&amp;form=skydnc</v>
    <v>Learn more on Bing</v>
  </rv>
  <rv s="1">
    <v>en-US</v>
    <v>ae8cjc</v>
    <v>268435456</v>
    <v>1</v>
    <v>Powered by Refinitiv</v>
    <v>0</v>
    <v>Vinci SA (XPAR:DG)</v>
    <v>2</v>
    <v>14</v>
    <v>Finance</v>
    <v>15</v>
    <v>135.35</v>
    <v>104</v>
    <v>0.90369999999999995</v>
    <v>1.3</v>
    <v>9.7009999999999996E-3</v>
    <v>EUR</v>
    <v>Vinci SA is a France-based company active in the concessions and construction industry worldwide. It manages four segments: Design and construction of infrastructure, Design, execution, and maintenance of energy and telecom infrastructures, Sub-contracted infrastructure management and Other. The Design and construction of infrastructure (VINCI Construction): primarily in the fields of building, civil engineering, and hydraulics. In addition, the group is developing a business in the construction, renovation and maintenance of transport infrastructure (roads, freeways and railroads; Eurovia), in the production of aggregates and in urban development; Design, execution, and maintenance of energy and telecom infrastructures (VINCI Energies and Cobra IS); Sub-contracted infrastructure management (VINCI Concessions): primarily managing roads and highways (mainly through Autoroutes du Sud de la France and Cofiroute), parking areas, airport activities; Other: primarily property development.</v>
    <v>292101</v>
    <v>Euronext Paris</v>
    <v>XPAR</v>
    <v>XPAR</v>
    <v>1973 boulevard de la Defense, NANTERRE, ILE-DE-FRANCE, 92000 FR</v>
    <v>135.35</v>
    <v>Construction &amp; Engineering</v>
    <v>Stock</v>
    <v>46066.708333333336</v>
    <v>182</v>
    <v>133.30000000000001</v>
    <v>67810750000</v>
    <v>Vinci SA</v>
    <v>Vinci SA</v>
    <v>133.4</v>
    <v>15.2963</v>
    <v>134</v>
    <v>135.30000000000001</v>
    <v>582257300</v>
    <v>DG</v>
    <v>Vinci SA (XPAR:DG)</v>
    <v>804753</v>
    <v>1001670</v>
    <v>1955</v>
  </rv>
  <rv s="2">
    <v>183</v>
  </rv>
  <rv s="0">
    <v>https://www.bing.com/financeapi/forcetrigger?t=aea5k2&amp;q=XPAR%3aSU&amp;form=skydnc</v>
    <v>Learn more on Bing</v>
  </rv>
  <rv s="9">
    <v>en-US</v>
    <v>aea5k2</v>
    <v>268435456</v>
    <v>1</v>
    <v>Powered by Refinitiv</v>
    <v>21</v>
    <v>Schneider Electric SE (XPAR:SU)</v>
    <v>2</v>
    <v>22</v>
    <v>Finance</v>
    <v>15</v>
    <v>274.64999999999998</v>
    <v>170.44</v>
    <v>1.2541</v>
    <v>-2.5</v>
    <v>-9.4199999999999996E-3</v>
    <v>EUR</v>
    <v>Schneider Electric SE is a France-based company that provides energy-related solutions globally. The Company specializes in the Digital Transformation of Energy Management and Automation in Homes, Buildings, Data Centers, Infrastructures, and Industries. It has a presence in across 115 countries, Schneider Electric SE provides products in power management - medium voltage, low voltage and secure energy, and automation systems. The Company provides integrated efficiency solutions that combine energy management, automation, and software. The ecosystem built by the Company allows it to collaborate on its open platform with a community of partners, integrators, and developers to offer its customers both control and operational efficiency in real time. Its sales are distributed geographically across France, Western Europe, the United States , North America, China, Asia or Pacific and other.</v>
    <v>176962</v>
    <v>Euronext Paris</v>
    <v>XPAR</v>
    <v>XPAR</v>
    <v>35 rue Joseph Monier, RUEIL-MALMAISON, ILE-DE-FRANCE, 92500 FR</v>
    <v>263.45</v>
    <v>Machinery, Equipment &amp; Components</v>
    <v>Stock</v>
    <v>46066.708333333336</v>
    <v>185</v>
    <v>258.55</v>
    <v>137614900000</v>
    <v>Schneider Electric SE</v>
    <v>Schneider Electric SE</v>
    <v>262.5</v>
    <v>34.636200000000002</v>
    <v>265.39999999999998</v>
    <v>262.89999999999998</v>
    <v>577122500</v>
    <v>SU</v>
    <v>Schneider Electric SE (XPAR:SU)</v>
    <v>1062548</v>
    <v>1001770</v>
  </rv>
  <rv s="2">
    <v>186</v>
  </rv>
  <rv s="0">
    <v>https://www.bing.com/financeapi/forcetrigger?t=aajkzr&amp;q=XWBO%3aSAP&amp;form=skydnc</v>
    <v>Learn more on Bing</v>
  </rv>
  <rv s="6">
    <v>en-US</v>
    <v>aajkzr</v>
    <v>268435456</v>
    <v>1</v>
    <v>Powered by Refinitiv</v>
    <v>10</v>
    <v>Sap Se (XWBO:SAP)</v>
    <v>2</v>
    <v>16</v>
    <v>Finance</v>
    <v>15</v>
    <v>1.0719000000000001</v>
    <v>2.9</v>
    <v>1.7150000000000002E-2</v>
    <v>EUR</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110650</v>
    <v>Wiener Boerse</v>
    <v>XWBO</v>
    <v>XWBO</v>
    <v>Dietmar-Hopp-Allee 16, WALLDORF, BADEN-WUERTTEMBERG, 69190 DE</v>
    <v>174.24</v>
    <v>Software &amp; IT Services</v>
    <v>Stock</v>
    <v>46066</v>
    <v>188</v>
    <v>169.96</v>
    <v>262224200000</v>
    <v>Sap Se</v>
    <v>Sap Se</v>
    <v>170.9</v>
    <v>26.99</v>
    <v>169.1</v>
    <v>172</v>
    <v>1228504000</v>
    <v>SAP</v>
    <v>Sap Se (XWBO:SAP)</v>
    <v>329</v>
    <v>4519530</v>
    <v>2014</v>
  </rv>
  <rv s="2">
    <v>189</v>
  </rv>
  <rv s="0">
    <v>https://www.bing.com/financeapi/forcetrigger?t=aeadvh&amp;q=XPAR%3aWLN&amp;form=skydnc</v>
    <v>Learn more on Bing</v>
  </rv>
  <rv s="1">
    <v>en-US</v>
    <v>aeadvh</v>
    <v>268435456</v>
    <v>1</v>
    <v>Powered by Refinitiv</v>
    <v>0</v>
    <v>Worldline SA (XPAR:WLN)</v>
    <v>2</v>
    <v>14</v>
    <v>Finance</v>
    <v>15</v>
    <v>8.24</v>
    <v>1.28</v>
    <v>1.4112</v>
    <v>1.4E-2</v>
    <v>1.0436000000000001E-2</v>
    <v>EUR</v>
    <v>Worldline SA, formerly Atos Worldline SAS, is a France-based company providing payment and transaction services. The Company creates and operates digital platforms which handle all transactions between companies, their partners and customers. Its solutions are divided into three segments: Merchant Services &amp; Terminals, comprising services, solutions and implementation in the areas of payment terminals, multichannel payment acceptance, non-cash payments, private label cards, loyalty services and e-commerce; Mobility &amp; eTransactional Services, engaged in creation of digital products such as e-tickets, e-government collection platforms, and contact and consumer cloud platforms, among others; and Financial Processing &amp; Software Licensing, which provides payment processing, acquiring and issuing processing, online banking solutions, and software solutions. The Company is active internationally through subsidiaries such as, Worldline Euro SA, Santeos SA, Worldline BV, among others.</v>
    <v>18240</v>
    <v>Euronext Paris</v>
    <v>XPAR</v>
    <v>XPAR</v>
    <v>Tour Voltaire, 1 Place des Degres, Cs 81162, Paris la Defense Cedex, PARIS, ILE-DE-FRANCE, 92059 FR</v>
    <v>1.367</v>
    <v>Financial Technology (Fintech) &amp; Infrastructure</v>
    <v>Stock</v>
    <v>46066.708333333336</v>
    <v>191</v>
    <v>1.325</v>
    <v>449177500</v>
    <v>Worldline SA</v>
    <v>Worldline SA</v>
    <v>1.3460000000000001</v>
    <v>0</v>
    <v>1.3414999999999999</v>
    <v>1.3554999999999999</v>
    <v>283964200</v>
    <v>WLN</v>
    <v>Worldline SA (XPAR:WLN)</v>
    <v>1019339</v>
    <v>1556070</v>
    <v>1990</v>
  </rv>
  <rv s="2">
    <v>192</v>
  </rv>
  <rv s="0">
    <v>https://www.bing.com/financeapi/forcetrigger?t=af55zr&amp;q=XFRA%3aBAS&amp;form=skydnc</v>
    <v>Learn more on Bing</v>
  </rv>
  <rv s="1">
    <v>en-US</v>
    <v>af55zr</v>
    <v>268435456</v>
    <v>1</v>
    <v>Powered by Refinitiv</v>
    <v>0</v>
    <v>BASF SE (XFRA:BAS)</v>
    <v>2</v>
    <v>14</v>
    <v>Finance</v>
    <v>15</v>
    <v>95.7</v>
    <v>37.409999999999997</v>
    <v>1.0471999999999999</v>
    <v>-0.42</v>
    <v>-8.199999999999999E-3</v>
    <v>EUR</v>
    <v>BASF SE is a Germany-based chemical company. The Company operates through six segments, which include Chemicals, Materials, Industrial Solutions, Surface Technologies, Nutrition &amp; Care and Agricultural Solutions. The Chemicals segment consists of the Petrochemicals and Intermediates divisions. The Materials segment consists of Performance Materials and Monomers divisions. The Industrial Solutions segment consists of Dispersions, Resins, Additives and Performance Chemicals divisions. The Surface Technologies segment consists of Catalysts and Coatings solution divisions. The Nutrition &amp; Care segment consists of Care Chemicals and Nutrition and Health divisions. The Agricultural Solutions segment consists of Agricultural Solutions division, which focuses on provision of crop protection products and Seed Treatment solutions and plant growth regulators.</v>
    <v>110709</v>
    <v>Deutsche Boerse AG</v>
    <v>XFRA</v>
    <v>XFRA</v>
    <v>Carl-Bosch-Str. 38, LUDWIGSHAFEN AM RHEIN, RHEINLAND-PFALZ, 67056 DE</v>
    <v>51.4</v>
    <v>Chemicals</v>
    <v>Stock</v>
    <v>46066.878472222219</v>
    <v>194</v>
    <v>50.34</v>
    <v>39788640000</v>
    <v>BASF SE</v>
    <v>BASF SE</v>
    <v>51.3</v>
    <v>186.41</v>
    <v>51.22</v>
    <v>50.8</v>
    <v>892522200</v>
    <v>BAS</v>
    <v>BASF SE (XFRA:BAS)</v>
    <v>9183</v>
    <v>3318820</v>
    <v>2008</v>
  </rv>
  <rv s="2">
    <v>195</v>
  </rv>
  <rv s="0">
    <v>https://www.bing.com/financeapi/forcetrigger?t=afnnu2&amp;q=XFRA%3aVNA&amp;form=skydnc</v>
    <v>Learn more on Bing</v>
  </rv>
  <rv s="1">
    <v>en-US</v>
    <v>afnnu2</v>
    <v>268435456</v>
    <v>1</v>
    <v>Powered by Refinitiv</v>
    <v>0</v>
    <v>Vonovia SE (XFRA:VNA)</v>
    <v>2</v>
    <v>14</v>
    <v>Finance</v>
    <v>15</v>
    <v>62.68</v>
    <v>15.3</v>
    <v>1.1442000000000001</v>
    <v>-0.11</v>
    <v>-4.1939999999999998E-3</v>
    <v>EUR</v>
    <v>Vonovia SE is a Germany-based residential real estate company. The Company is operating via four segments: Rental, Value Add, Development and Recurring Sales. The Rental segment combines business activities aimed at value-enhancing management of the properties. The Value-add segment offers all housing related services such as maintenance and modernization, in addition to the services related to rental business. The Development segment includes project development for the creation of new homes from purchase of land to the completion of the new building and new construction on their own lands and adding extra stories to the existing buildings. The Recurring Sales segment offers individual dwelling house or single-family houses are sold to the private buyers.</v>
    <v>12521</v>
    <v>Deutsche Boerse AG</v>
    <v>XFRA</v>
    <v>XFRA</v>
    <v>Universitaetsstrasse 133, BOCHUM, NORDRHEIN-WESTFALEN, 44803 DE</v>
    <v>26.45</v>
    <v>Real Estate Operations</v>
    <v>Stock</v>
    <v>46066.878472222219</v>
    <v>197</v>
    <v>25.96</v>
    <v>21451390000</v>
    <v>Vonovia SE</v>
    <v>Vonovia SE</v>
    <v>26.3</v>
    <v>8.07</v>
    <v>26.23</v>
    <v>26.12</v>
    <v>848258800</v>
    <v>VNA</v>
    <v>Vonovia SE (XFRA:VNA)</v>
    <v>3324</v>
    <v>3159060</v>
    <v>2017</v>
  </rv>
  <rv s="2">
    <v>198</v>
  </rv>
  <rv s="0">
    <v>https://www.bing.com/financeapi/forcetrigger?t=ae8j2w&amp;q=XPAR%3aENGI&amp;form=skydnc</v>
    <v>Learn more on Bing</v>
  </rv>
  <rv s="1">
    <v>en-US</v>
    <v>ae8j2w</v>
    <v>268435456</v>
    <v>1</v>
    <v>Powered by Refinitiv</v>
    <v>0</v>
    <v>Engie SA (XPAR:ENGI)</v>
    <v>2</v>
    <v>14</v>
    <v>Finance</v>
    <v>15</v>
    <v>26.78</v>
    <v>15.44</v>
    <v>0.68559999999999999</v>
    <v>-0.3</v>
    <v>-1.1368E-2</v>
    <v>EUR</v>
    <v>Engie SA is a France-based global energy and services group. It operates through the following business segments: Infrastructures, Renewables, Energy Solutions, FlexGen and Retail, Nuclear and other. The Company develops integrated solutions to support companies and local authorities in the zero- carbon transition. It operates in the gas and electricity value chain (hydrogen, natural gas and biogas) upstream of supply to customers. Renewables covers both generation and marketing of electricity from all renewable energy sources. The Company provides generation and marketing of electricity from other energy sources, such as gas and coal. It also comprehend Supply that combines the activities of purchases-wholesale sales and activities business to customers client solutions and Nuclear, dedicated to nuclear activities.</v>
    <v>98000</v>
    <v>Euronext Paris</v>
    <v>XPAR</v>
    <v>XPAR</v>
    <v>our T1 - 1 place Samuel de Champlain, Faubourg de l Arche, Paris La Defense cedex, PARIS, ILE-DE-FRANCE, 92930 FR</v>
    <v>26.4</v>
    <v>Multiline Utilities</v>
    <v>Stock</v>
    <v>46066.708333333336</v>
    <v>200</v>
    <v>25.63</v>
    <v>56985670000</v>
    <v>Engie SA</v>
    <v>Engie SA</v>
    <v>26.28</v>
    <v>12.9185</v>
    <v>26.39</v>
    <v>26.09</v>
    <v>2435285000</v>
    <v>ENGI</v>
    <v>Engie SA (XPAR:ENGI)</v>
    <v>5054738</v>
    <v>4924900</v>
    <v>1986</v>
  </rv>
  <rv s="2">
    <v>201</v>
  </rv>
  <rv s="0">
    <v>https://www.bing.com/financeapi/forcetrigger?t=aaj7m7&amp;q=XWBO%3aIBE&amp;form=skydnc</v>
    <v>Learn more on Bing</v>
  </rv>
  <rv s="7">
    <v>en-US</v>
    <v>aaj7m7</v>
    <v>268435456</v>
    <v>1</v>
    <v>Powered by Refinitiv</v>
    <v>12</v>
    <v>Iberdrola SA (XWBO:IBE)</v>
    <v>2</v>
    <v>34</v>
    <v>Finance</v>
    <v>15</v>
    <v>0.67789999999999995</v>
    <v>-2.5000000000000001E-2</v>
    <v>-1.2880000000000001E-3</v>
    <v>EUR</v>
    <v>IBERDROLA, S.A. is engaged in carrying out electricity and gas activities in Spain and abroad. The Company's segments include Network business, Deregulated business, Renewable business and Other businesses. The Company's Network business segment includes all the energy transmission and distribution activities, and any other regulated activity originated in Spain, the United Kingdom, the United States and Brazil. Its Deregulated business segment includes electricity generation and sales businesses, as well as gas trading and storage businesses carried on by the Company in Spain, Portugal, the United Kingdom and North America. Its Renewable business segment includes activities related to renewable energies in Spain, the United Kingdom, the United States and the rest of the world. Its Other businesses segment includes the engineering and construction businesses and the non-power businesses. The Company offers its customers power and natural gas, both in the wholesale and retail markets.</v>
    <v>45273</v>
    <v>Wiener Boerse</v>
    <v>XWBO</v>
    <v>XWBO</v>
    <v>Plaza Euskadi numero 5, BILBAO, VIZCAYA ES</v>
    <v>19.414999999999999</v>
    <v>Electrical Utilities &amp; IPPs</v>
    <v>Stock</v>
    <v>46062</v>
    <v>203</v>
    <v>19.36</v>
    <v>123602700000</v>
    <v>Iberdrola SA</v>
    <v>Iberdrola SA</v>
    <v>19.385000000000002</v>
    <v>24.41</v>
    <v>19.41</v>
    <v>19.385000000000002</v>
    <v>6757846000</v>
    <v>IBE</v>
    <v>Iberdrola SA (XWBO:IBE)</v>
    <v>3</v>
    <v>8309820</v>
  </rv>
  <rv s="2">
    <v>204</v>
  </rv>
  <rv s="13">
    <v>en-US</v>
    <v>cbp7cw</v>
    <v>268435456</v>
    <v>1</v>
    <v>Powered by Refinitiv</v>
    <v>35</v>
    <v>ORMAT TECHNOLOGIES, INC. (XWBO:ORAT)</v>
    <v>28</v>
    <v>36</v>
    <v>Finance</v>
    <v>15</v>
    <v>0.81520000000000004</v>
    <v>-3.83</v>
    <v>-3.7494E-2</v>
    <v>EUR</v>
    <v>Ormat Technologies, Inc. is a geothermal and vertically integrated company engaged in geothermal and recovered energy generation (REG). The Company owns, operates, designs, manufactures and sells geothermal and REG power plants primarily based on the Ormat Energy Converter, a power generation unit that converts low-, medium- and high-temperature heat into electricity. The Company has engineered, manufactured and constructed power plants, which it owns or has installed for utilities and developers worldwide, totaling approximately 3,400 megawatts (MW) of gross capacity. Its segments include Electricity Segment, Product Segment and Energy Storage Segment. Its Electricity segment develops, builds, owns and operates geothermal, solar PV and recovered energy-based power plants in the United States and geothermal power plants in other countries around the world. Product segment designs, manufactures, and sells equipment for geothermal and recovered energy-based electricity generation.</v>
    <v>1512</v>
    <v>Wiener Boerse</v>
    <v>XWBO</v>
    <v>XWBO</v>
    <v>6884 Sierra Center Parkway, RENO, NV, 89511 US</v>
    <v>101.9</v>
    <v>Electrical Utilities &amp; IPPs</v>
    <v>Stock</v>
    <v>46066</v>
    <v>96.78</v>
    <v>7236072000</v>
    <v>ORMAT TECHNOLOGIES, INC.</v>
    <v>ORMAT TECHNOLOGIES, INC.</v>
    <v>101.9</v>
    <v>54.82</v>
    <v>102.15</v>
    <v>98.32</v>
    <v>60781790</v>
    <v>ORAT</v>
    <v>ORMAT TECHNOLOGIES, INC. (XWBO:ORAT)</v>
    <v>178</v>
    <v>649920</v>
    <v>1994</v>
  </rv>
  <rv s="2">
    <v>206</v>
  </rv>
  <rv s="0">
    <v>https://www.bing.com/financeapi/forcetrigger?t=a1yv52&amp;q=XNAS%3aNVDA&amp;form=skydnc</v>
    <v>Learn more on Bing</v>
  </rv>
  <rv s="10">
    <v>en-US</v>
    <v>a1yv52</v>
    <v>268435456</v>
    <v>1</v>
    <v>Powered by Refinitiv</v>
    <v>24</v>
    <v>NVIDIA CORPORATION (XNAS:NVDA)</v>
    <v>2</v>
    <v>25</v>
    <v>Finance</v>
    <v>19</v>
    <v>212.18989999999999</v>
    <v>86.62</v>
    <v>2.3235000000000001</v>
    <v>-4.13</v>
    <v>3.8289999999999998E-4</v>
    <v>-2.2092999999999998E-2</v>
    <v>7.0000000000000007E-2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187.5</v>
    <v>Semiconductors &amp; Semiconductor Equipment</v>
    <v>Stock</v>
    <v>46066.912727546092</v>
    <v>208</v>
    <v>181.59</v>
    <v>4442283000000</v>
    <v>NVIDIA CORPORATION</v>
    <v>NVIDIA CORPORATION</v>
    <v>187.47499999999999</v>
    <v>46.301499999999997</v>
    <v>186.94</v>
    <v>182.81</v>
    <v>182.88</v>
    <v>24300000000</v>
    <v>NVDA</v>
    <v>NVIDIA CORPORATION (XNAS:NVDA)</v>
    <v>161888021</v>
    <v>172472672</v>
    <v>1998</v>
  </rv>
  <rv s="2">
    <v>209</v>
  </rv>
  <rv s="0">
    <v>https://www.bing.com/financeapi/forcetrigger?t=a24kar&amp;q=XNAS%3aTSLA&amp;form=skydnc</v>
    <v>Learn more on Bing</v>
  </rv>
  <rv s="10">
    <v>en-US</v>
    <v>a24kar</v>
    <v>268435456</v>
    <v>1</v>
    <v>Powered by Refinitiv</v>
    <v>24</v>
    <v>TESLA, INC. (XNAS:TSLA)</v>
    <v>2</v>
    <v>25</v>
    <v>Finance</v>
    <v>19</v>
    <v>498.83</v>
    <v>214.25</v>
    <v>1.8894</v>
    <v>0.37</v>
    <v>0</v>
    <v>8.8709999999999993E-4</v>
    <v>0</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424.06</v>
    <v>Automobiles &amp; Auto Parts</v>
    <v>Stock</v>
    <v>46066.912765080466</v>
    <v>211</v>
    <v>410.88</v>
    <v>1566415214080</v>
    <v>TESLA, INC.</v>
    <v>TESLA, INC.</v>
    <v>414.30500000000001</v>
    <v>387.82780000000002</v>
    <v>417.07</v>
    <v>417.44</v>
    <v>417.44</v>
    <v>3752432000</v>
    <v>TSLA</v>
    <v>TESLA, INC. (XNAS:TSLA)</v>
    <v>51434147</v>
    <v>61463058</v>
    <v>2024</v>
  </rv>
  <rv s="2">
    <v>212</v>
  </rv>
  <rv s="0">
    <v>https://www.bing.com/financeapi/forcetrigger?t=a1ygoc&amp;q=XNAS%3aNFLX&amp;form=skydnc</v>
    <v>Learn more on Bing</v>
  </rv>
  <rv s="10">
    <v>en-US</v>
    <v>a1ygoc</v>
    <v>268435456</v>
    <v>1</v>
    <v>Powered by Refinitiv</v>
    <v>24</v>
    <v>NETFLIX, INC. (XNAS:NFLX)</v>
    <v>2</v>
    <v>25</v>
    <v>Finance</v>
    <v>19</v>
    <v>134.11500000000001</v>
    <v>75.23</v>
    <v>1.7246999999999999</v>
    <v>1.01</v>
    <v>9.7570000000000003E-4</v>
    <v>1.3313999999999999E-2</v>
    <v>7.4999999999999997E-2</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77.180000000000007</v>
    <v>Software &amp; IT Services</v>
    <v>Stock</v>
    <v>46066.913183483593</v>
    <v>214</v>
    <v>75.53</v>
    <v>324557592940</v>
    <v>NETFLIX, INC.</v>
    <v>NETFLIX, INC.</v>
    <v>76.14</v>
    <v>30.017700000000001</v>
    <v>75.86</v>
    <v>76.87</v>
    <v>76.944999999999993</v>
    <v>4222162000</v>
    <v>NFLX</v>
    <v>NETFLIX, INC. (XNAS:NFLX)</v>
    <v>42292078</v>
    <v>53164613</v>
    <v>1997</v>
  </rv>
  <rv s="2">
    <v>215</v>
  </rv>
  <rv s="0">
    <v>http://pt.wikipedia.org/wiki/Oracle_Corporation</v>
    <v>Wikipedia</v>
  </rv>
  <rv s="3">
    <v>18</v>
    <v>217</v>
  </rv>
  <rv s="4">
    <v>9</v>
    <v>https://www.bing.com/th?id=AMMS_672116c618c664d13b2515d6587ba357&amp;qlt=95</v>
    <v>218</v>
    <v>0</v>
    <v>https://www.bing.com/images/search?form=xlimg&amp;q=oracle+corporation</v>
    <v>Image of ORACLE CORPORATION</v>
  </rv>
  <rv s="0">
    <v>https://www.bing.com/financeapi/forcetrigger?t=a1zbec&amp;q=XNYS%3aORCL&amp;form=skydnc</v>
    <v>Learn more on Bing</v>
  </rv>
  <rv s="14">
    <v>en-US</v>
    <v>a1zbec</v>
    <v>268435456</v>
    <v>1</v>
    <v>Powered by Refinitiv</v>
    <v>37</v>
    <v>ORACLE CORPORATION (XNYS:ORCL)</v>
    <v>7</v>
    <v>38</v>
    <v>Finance</v>
    <v>26</v>
    <v>345.72</v>
    <v>118.86</v>
    <v>1.6346000000000001</v>
    <v>3.63</v>
    <v>1.552E-3</v>
    <v>2.3198E-2</v>
    <v>0.24859999999999999</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162.30000000000001</v>
    <v>219</v>
    <v>Software &amp; IT Services</v>
    <v>Stock</v>
    <v>46066.967230532035</v>
    <v>220</v>
    <v>155.29</v>
    <v>460016844300</v>
    <v>ORACLE CORPORATION</v>
    <v>ORACLE CORPORATION</v>
    <v>159.25</v>
    <v>27.689900000000002</v>
    <v>156.47999999999999</v>
    <v>160.11000000000001</v>
    <v>160.3886</v>
    <v>2873130000</v>
    <v>ORCL</v>
    <v>ORACLE CORPORATION (XNYS:ORCL)</v>
    <v>18596959</v>
    <v>29951957</v>
    <v>2005</v>
  </rv>
  <rv s="2">
    <v>221</v>
  </rv>
  <rv s="0">
    <v>https://www.bing.com/financeapi/forcetrigger?t=a1p7zr&amp;q=XNYS%3aCAT&amp;form=skydnc</v>
    <v>Learn more on Bing</v>
  </rv>
  <rv s="10">
    <v>en-US</v>
    <v>a1p7zr</v>
    <v>268435456</v>
    <v>1</v>
    <v>Powered by Refinitiv</v>
    <v>24</v>
    <v>CATERPILLAR INC. (XNYS:CAT)</v>
    <v>2</v>
    <v>25</v>
    <v>Finance</v>
    <v>26</v>
    <v>789.81</v>
    <v>267.3</v>
    <v>1.5105999999999999</v>
    <v>16.37</v>
    <v>1.33E-3</v>
    <v>2.1588E-2</v>
    <v>1.03</v>
    <v>USD</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New York Stock Exchange</v>
    <v>XNYS</v>
    <v>XNYS</v>
    <v>5205 N. O'connor Boulevard, Suite 100, IRVING, TX, 75039 US</v>
    <v>784</v>
    <v>Machinery, Equipment &amp; Components</v>
    <v>Stock</v>
    <v>46066.98558070547</v>
    <v>223</v>
    <v>747.42</v>
    <v>362525076936</v>
    <v>CATERPILLAR INC.</v>
    <v>CATERPILLAR INC.</v>
    <v>765</v>
    <v>40.277700000000003</v>
    <v>758.29</v>
    <v>774.66</v>
    <v>775.23</v>
    <v>467979600</v>
    <v>CAT</v>
    <v>CATERPILLAR INC. (XNYS:CAT)</v>
    <v>3232805</v>
    <v>2993304</v>
    <v>1986</v>
  </rv>
  <rv s="2">
    <v>224</v>
  </rv>
  <rv s="0">
    <v>http://es.wikipedia.org/wiki/Adobe_(empresa)</v>
    <v>Wikipedia</v>
  </rv>
  <rv s="3">
    <v>18</v>
    <v>226</v>
  </rv>
  <rv s="4">
    <v>9</v>
    <v>https://www.bing.com/th?id=AMMS_503c684ccc667ad525fe1d703881df2c&amp;qlt=95</v>
    <v>227</v>
    <v>0</v>
    <v>https://www.bing.com/images/search?form=xlimg&amp;q=adobe+systems</v>
    <v>Image of ADOBE INC.</v>
  </rv>
  <rv s="0">
    <v>https://www.bing.com/financeapi/forcetrigger?t=a1mv7w&amp;q=XNAS%3aADBE&amp;form=skydnc</v>
    <v>Learn more on Bing</v>
  </rv>
  <rv s="14">
    <v>en-US</v>
    <v>a1mv7w</v>
    <v>268435456</v>
    <v>1</v>
    <v>Powered by Refinitiv</v>
    <v>37</v>
    <v>ADOBE INC. (XNAS:ADBE)</v>
    <v>7</v>
    <v>38</v>
    <v>Finance</v>
    <v>26</v>
    <v>465.69990000000001</v>
    <v>251.1001</v>
    <v>1.5286999999999999</v>
    <v>1.47</v>
    <v>-2.652E-4</v>
    <v>5.6000000000000008E-3</v>
    <v>-7.0000000000000007E-2</v>
    <v>USD</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31360</v>
    <v>Nasdaq Stock Market</v>
    <v>XNAS</v>
    <v>XNAS</v>
    <v>345 Park Avenue, SAN JOSE, CA, 95110-2704 US</v>
    <v>265.29000000000002</v>
    <v>228</v>
    <v>Software &amp; IT Services</v>
    <v>Stock</v>
    <v>46066.95801951328</v>
    <v>229</v>
    <v>257.5</v>
    <v>108359685000</v>
    <v>ADOBE INC.</v>
    <v>ADOBE INC.</v>
    <v>262.17</v>
    <v>15.7225</v>
    <v>262.5</v>
    <v>263.97000000000003</v>
    <v>263.89999999999998</v>
    <v>410500000</v>
    <v>ADBE</v>
    <v>ADOBE INC. (XNAS:ADBE)</v>
    <v>6589694</v>
    <v>5845050</v>
    <v>1997</v>
  </rv>
  <rv s="2">
    <v>230</v>
  </rv>
  <rv s="0">
    <v>http://en.wikipedia.org/wiki/The_Walt_Disney_Company</v>
    <v>Wikipedia</v>
  </rv>
  <rv s="3">
    <v>18</v>
    <v>232</v>
  </rv>
  <rv s="4">
    <v>9</v>
    <v>https://www.bing.com/th?id=AMMS_0aa288ba528f6f45e3de87d97e250136&amp;qlt=95</v>
    <v>233</v>
    <v>0</v>
    <v>https://www.bing.com/images/search?form=xlimg&amp;q=the+walt+disney+company</v>
    <v>Image of THE WALT DISNEY COMPANY</v>
  </rv>
  <rv s="0">
    <v>https://www.bing.com/financeapi/forcetrigger?t=a1r2z2&amp;q=XNYS%3aDIS&amp;form=skydnc</v>
    <v>Learn more on Bing</v>
  </rv>
  <rv s="14">
    <v>en-US</v>
    <v>a1r2z2</v>
    <v>268435456</v>
    <v>1</v>
    <v>Powered by Refinitiv</v>
    <v>37</v>
    <v>THE WALT DISNEY COMPANY (XNYS:DIS)</v>
    <v>7</v>
    <v>38</v>
    <v>Finance</v>
    <v>26</v>
    <v>124.69</v>
    <v>80.099999999999994</v>
    <v>1.4248000000000001</v>
    <v>3.06</v>
    <v>-1.4219999999999999E-3</v>
    <v>2.9889000000000002E-2</v>
    <v>-0.15</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105.52</v>
    <v>234</v>
    <v>Media &amp; Publishing</v>
    <v>Stock</v>
    <v>46066.997522580466</v>
    <v>235</v>
    <v>101.2004</v>
    <v>186789068800</v>
    <v>THE WALT DISNEY COMPANY</v>
    <v>THE WALT DISNEY COMPANY</v>
    <v>101.4</v>
    <v>15.085800000000001</v>
    <v>102.38</v>
    <v>105.44</v>
    <v>105.3</v>
    <v>1771520000</v>
    <v>DIS</v>
    <v>THE WALT DISNEY COMPANY (XNYS:DIS)</v>
    <v>12845332</v>
    <v>13081741</v>
    <v>2018</v>
  </rv>
  <rv s="2">
    <v>236</v>
  </rv>
  <rv s="0">
    <v>https://www.bing.com/financeapi/forcetrigger?t=a1tr1h&amp;q=XNYS%3aGE&amp;form=skydnc</v>
    <v>Learn more on Bing</v>
  </rv>
  <rv s="10">
    <v>en-US</v>
    <v>a1tr1h</v>
    <v>268435456</v>
    <v>1</v>
    <v>Powered by Refinitiv</v>
    <v>24</v>
    <v>GENERAL ELECTRIC COMPANY (XNYS:GE)</v>
    <v>2</v>
    <v>25</v>
    <v>Finance</v>
    <v>19</v>
    <v>332.79</v>
    <v>159.36000000000001</v>
    <v>1.3885000000000001</v>
    <v>2.52</v>
    <v>-1.2999999999999999E-3</v>
    <v>8.0540000000000004E-3</v>
    <v>-0.41</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57000</v>
    <v>New York Stock Exchange</v>
    <v>XNYS</v>
    <v>XNYS</v>
    <v>1 Neumann Way, Evendale, OH, 45215 US</v>
    <v>326.68</v>
    <v>Aerospace &amp; Defense</v>
    <v>Stock</v>
    <v>46066.932998738281</v>
    <v>238</v>
    <v>313.52499999999998</v>
    <v>330806423740</v>
    <v>GENERAL ELECTRIC COMPANY</v>
    <v>GENERAL ELECTRIC COMPANY</v>
    <v>315.22000000000003</v>
    <v>38.838200000000001</v>
    <v>312.89</v>
    <v>315.41000000000003</v>
    <v>315</v>
    <v>1048814000</v>
    <v>GE</v>
    <v>GENERAL ELECTRIC COMPANY (XNYS:GE)</v>
    <v>4393744</v>
    <v>6218005</v>
    <v>1892</v>
  </rv>
  <rv s="2">
    <v>239</v>
  </rv>
  <rv s="0">
    <v>https://www.bing.com/financeapi/forcetrigger?t=a1vmf2&amp;q=XNAS%3aINTC&amp;form=skydnc</v>
    <v>Learn more on Bing</v>
  </rv>
  <rv s="10">
    <v>en-US</v>
    <v>a1vmf2</v>
    <v>268435456</v>
    <v>1</v>
    <v>Powered by Refinitiv</v>
    <v>24</v>
    <v>INTEL CORPORATION (XNAS:INTC)</v>
    <v>2</v>
    <v>25</v>
    <v>Finance</v>
    <v>19</v>
    <v>54.6</v>
    <v>17.664999999999999</v>
    <v>1.3688</v>
    <v>0.31</v>
    <v>-3.6329999999999999E-3</v>
    <v>6.6700000000000006E-3</v>
    <v>-0.17</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85100</v>
    <v>Nasdaq Stock Market</v>
    <v>XNAS</v>
    <v>XNAS</v>
    <v>2200 Mission College Blvd, Rnb-4-151, SANTA CLARA, CA, 95054 US</v>
    <v>47.69</v>
    <v>Semiconductors &amp; Semiconductor Equipment</v>
    <v>Stock</v>
    <v>46066.912712418751</v>
    <v>241</v>
    <v>44.97</v>
    <v>233716050000</v>
    <v>INTEL CORPORATION</v>
    <v>INTEL CORPORATION</v>
    <v>45.76</v>
    <v>0</v>
    <v>46.48</v>
    <v>46.79</v>
    <v>46.62</v>
    <v>4995000000</v>
    <v>INTC</v>
    <v>INTEL CORPORATION (XNAS:INTC)</v>
    <v>69740424</v>
    <v>139769074</v>
    <v>1989</v>
  </rv>
  <rv s="2">
    <v>242</v>
  </rv>
  <rv s="0">
    <v>https://www.bing.com/financeapi/forcetrigger?t=a1nhlh&amp;q=XNAS%3aAMZN&amp;form=skydnc</v>
    <v>Learn more on Bing</v>
  </rv>
  <rv s="10">
    <v>en-US</v>
    <v>a1nhlh</v>
    <v>268435456</v>
    <v>1</v>
    <v>Powered by Refinitiv</v>
    <v>24</v>
    <v>AMAZON.COM, INC. (XNAS:AMZN)</v>
    <v>2</v>
    <v>25</v>
    <v>Finance</v>
    <v>19</v>
    <v>258.60000000000002</v>
    <v>161.38</v>
    <v>1.419</v>
    <v>-0.81</v>
    <v>8.5419999999999995E-4</v>
    <v>-4.058E-3</v>
    <v>0.16980000000000001</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201.16</v>
    <v>Diversified Retail</v>
    <v>Stock</v>
    <v>46066.967227615627</v>
    <v>244</v>
    <v>197.27500000000001</v>
    <v>2133994746800</v>
    <v>AMAZON.COM, INC.</v>
    <v>AMAZON.COM, INC.</v>
    <v>198.88</v>
    <v>27.829499999999999</v>
    <v>199.6</v>
    <v>198.79</v>
    <v>198.9598</v>
    <v>10734920000</v>
    <v>AMZN</v>
    <v>AMAZON.COM, INC. (XNAS:AMZN)</v>
    <v>66321593</v>
    <v>55125654</v>
    <v>1996</v>
  </rv>
  <rv s="2">
    <v>245</v>
  </rv>
  <rv s="0">
    <v>https://www.bing.com/financeapi/forcetrigger?t=a1o4sm&amp;q=XNYS%3aBAC&amp;form=skydnc</v>
    <v>Learn more on Bing</v>
  </rv>
  <rv s="10">
    <v>en-US</v>
    <v>a1o4sm</v>
    <v>268435456</v>
    <v>1</v>
    <v>Powered by Refinitiv</v>
    <v>24</v>
    <v>BANK OF AMERICA CORPORATION (XNYS:BAC)</v>
    <v>2</v>
    <v>25</v>
    <v>Finance</v>
    <v>19</v>
    <v>57.55</v>
    <v>33.064999999999998</v>
    <v>1.2707999999999999</v>
    <v>0.03</v>
    <v>9.5149999999999998E-4</v>
    <v>5.7120000000000001E-4</v>
    <v>0.05</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213207</v>
    <v>New York Stock Exchange</v>
    <v>XNYS</v>
    <v>XNYS</v>
    <v>Bank Of America Corporate Center, 100 N Tryon St, CHARLOTTE, NC, 28255 US</v>
    <v>52.82</v>
    <v>Banking Services</v>
    <v>Stock</v>
    <v>46066.967230613278</v>
    <v>247</v>
    <v>51.435000000000002</v>
    <v>379014983200</v>
    <v>BANK OF AMERICA CORPORATION</v>
    <v>BANK OF AMERICA CORPORATION</v>
    <v>51.91</v>
    <v>13.784800000000001</v>
    <v>52.52</v>
    <v>52.55</v>
    <v>52.6</v>
    <v>7212464000</v>
    <v>BAC</v>
    <v>BANK OF AMERICA CORPORATION (XNYS:BAC)</v>
    <v>31772096</v>
    <v>41594443</v>
    <v>1998</v>
  </rv>
  <rv s="2">
    <v>248</v>
  </rv>
  <rv s="11">
    <v>en-US</v>
    <v>cdw62w</v>
    <v>268435456</v>
    <v>1</v>
    <v>Powered by Refinitiv</v>
    <v>27</v>
    <v>WELL Health Technologies Corp. (NEOE:WELL)</v>
    <v>28</v>
    <v>29</v>
    <v>Finance</v>
    <v>30</v>
    <v>6.34</v>
    <v>3.6</v>
    <v>1.2218</v>
    <v>0.03</v>
    <v>7.6530000000000001E-3</v>
    <v>CAD</v>
    <v>WELL Health Technologies Corp. is a Canada-based digital healthcare company. Its healthcare and digital platform includes front and back-office management software applications that help physicians. Its business units include Canadian Patient Services, WELL Health USA Patient and Provider Services, and SaaS and Technology Services. The Canadian Patient Services segment provides primary care and allied health clinic operations in Canada and specialty care and accredited diagnostic health services from WDC. The WELL Health USA Patient and Provider Services segment includes U.S. primary care telehealth operations from Circle Medical; U.S. primary care operations from WISP; specialized care gastroenterology anesthesia services, and specialized medical recruitment and staffing services. The SaaS and Technology Services segment includes aggregation of electronic medical records, billing and revenue cycle management solutions, digital applications, and cybersecurity operating segments.</v>
    <v>3200</v>
    <v>NEO Exchange</v>
    <v>NEOE</v>
    <v>NEOE</v>
    <v>Suite 550 - 375 Water Street, VANCOUVER, BC, V6B 5C6 CA</v>
    <v>3.99</v>
    <v>Healthcare Providers &amp; Services</v>
    <v>Stock</v>
    <v>46066.868514664064</v>
    <v>3.92</v>
    <v>1005986395</v>
    <v>WELL Health Technologies Corp.</v>
    <v>WELL Health Technologies Corp.</v>
    <v>3.92</v>
    <v>3.92</v>
    <v>3.95</v>
    <v>254680100</v>
    <v>WELL</v>
    <v>WELL Health Technologies Corp. (NEOE:WELL)</v>
    <v>44800</v>
    <v>1384610</v>
    <v>2010</v>
  </rv>
  <rv s="2">
    <v>250</v>
  </rv>
  <rv s="0">
    <v>https://www.bing.com/financeapi/forcetrigger?t=a1yjxm&amp;q=XNYS%3aNKE&amp;form=skydnc</v>
    <v>Learn more on Bing</v>
  </rv>
  <rv s="10">
    <v>en-US</v>
    <v>a1yjxm</v>
    <v>268435456</v>
    <v>1</v>
    <v>Powered by Refinitiv</v>
    <v>24</v>
    <v>NIKE, INC. (XNYS:NKE)</v>
    <v>2</v>
    <v>25</v>
    <v>Finance</v>
    <v>19</v>
    <v>82.44</v>
    <v>52.28</v>
    <v>1.2652000000000001</v>
    <v>2.0299999999999998</v>
    <v>-2.6929999999999996E-3</v>
    <v>3.3224000000000004E-2</v>
    <v>-0.17</v>
    <v>USD</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77800</v>
    <v>New York Stock Exchange</v>
    <v>XNYS</v>
    <v>XNYS</v>
    <v>One Bowerman Dr, BEAVERTON, OR, 97005-6453 US</v>
    <v>63.375</v>
    <v>Textiles &amp; Apparel</v>
    <v>Stock</v>
    <v>46066.91272756875</v>
    <v>252</v>
    <v>61.59</v>
    <v>93456578790</v>
    <v>NIKE, INC.</v>
    <v>NIKE, INC.</v>
    <v>61.59</v>
    <v>35.827199999999998</v>
    <v>61.1</v>
    <v>63.13</v>
    <v>62.96</v>
    <v>1480383000</v>
    <v>NKE</v>
    <v>NIKE, INC. (XNYS:NKE)</v>
    <v>20180904</v>
    <v>14717813</v>
    <v>1969</v>
  </rv>
  <rv s="2">
    <v>253</v>
  </rv>
  <rv s="0">
    <v>https://www.bing.com/financeapi/forcetrigger?t=a1slm7&amp;q=XNAS%3aMETA&amp;form=skydnc</v>
    <v>Learn more on Bing</v>
  </rv>
  <rv s="10">
    <v>en-US</v>
    <v>a1slm7</v>
    <v>268435456</v>
    <v>1</v>
    <v>Powered by Refinitiv</v>
    <v>24</v>
    <v>Meta Platforms, Inc. (XNAS:META)</v>
    <v>2</v>
    <v>25</v>
    <v>Finance</v>
    <v>19</v>
    <v>796.25</v>
    <v>479.8</v>
    <v>1.3069999999999999</v>
    <v>-10.039999999999999</v>
    <v>-1.6719999999999999E-3</v>
    <v>-1.5450999999999999E-2</v>
    <v>-1.07</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651.42989999999998</v>
    <v>Software &amp; IT Services</v>
    <v>Stock</v>
    <v>46066.897144930466</v>
    <v>255</v>
    <v>634.57000000000005</v>
    <v>1618333402350</v>
    <v>Meta Platforms, Inc.</v>
    <v>Meta Platforms, Inc.</v>
    <v>645.1</v>
    <v>22.230499999999999</v>
    <v>649.80999999999995</v>
    <v>639.77</v>
    <v>638.70000000000005</v>
    <v>2529555000</v>
    <v>META</v>
    <v>Meta Platforms, Inc. (XNAS:META)</v>
    <v>12336363</v>
    <v>17986643</v>
    <v>2004</v>
  </rv>
  <rv s="2">
    <v>256</v>
  </rv>
  <rv s="0">
    <v>https://www.bing.com/financeapi/forcetrigger?t=a1qc1h&amp;q=XNYS%3aCRM&amp;form=skydnc</v>
    <v>Learn more on Bing</v>
  </rv>
  <rv s="10">
    <v>en-US</v>
    <v>a1qc1h</v>
    <v>268435456</v>
    <v>1</v>
    <v>Powered by Refinitiv</v>
    <v>24</v>
    <v>SALESFORCE, INC. (XNYS:CRM)</v>
    <v>2</v>
    <v>25</v>
    <v>Finance</v>
    <v>26</v>
    <v>330.34730000000002</v>
    <v>180.24</v>
    <v>1.2947</v>
    <v>4.2699999999999996</v>
    <v>4.217E-4</v>
    <v>2.3028E-2</v>
    <v>0.08</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76453</v>
    <v>New York Stock Exchange</v>
    <v>XNYS</v>
    <v>XNYS</v>
    <v>SALESFORCE TOWER, 415 MISSION STREET 3RD FL, SAN FRANCISCO, CA, 94105 US</v>
    <v>193.45</v>
    <v>Software &amp; IT Services</v>
    <v>Stock</v>
    <v>46066.967229548434</v>
    <v>258</v>
    <v>184.3</v>
    <v>177748900000</v>
    <v>SALESFORCE, INC.</v>
    <v>SALESFORCE, INC.</v>
    <v>186.44</v>
    <v>24.7227</v>
    <v>185.43</v>
    <v>189.7</v>
    <v>189.8</v>
    <v>937000000</v>
    <v>CRM</v>
    <v>SALESFORCE, INC. (XNYS:CRM)</v>
    <v>14822879</v>
    <v>12390581</v>
    <v>1999</v>
  </rv>
  <rv s="2">
    <v>259</v>
  </rv>
  <rv s="0">
    <v>https://www.bing.com/financeapi/forcetrigger?t=a1vmtc&amp;q=XNAS%3aINTU&amp;form=skydnc</v>
    <v>Learn more on Bing</v>
  </rv>
  <rv s="10">
    <v>en-US</v>
    <v>a1vmtc</v>
    <v>268435456</v>
    <v>1</v>
    <v>Powered by Refinitiv</v>
    <v>24</v>
    <v>INTUIT INC. (XNAS:INTU)</v>
    <v>2</v>
    <v>25</v>
    <v>Finance</v>
    <v>26</v>
    <v>813.7</v>
    <v>389.32</v>
    <v>1.2749999999999999</v>
    <v>1.44</v>
    <v>8.763E-4</v>
    <v>3.6180000000000001E-3</v>
    <v>0.35</v>
    <v>USD</v>
    <v>Intuit Inc. offers a financial technology platform that helps consumers and small and mid-market businesses prosper by delivering financial management, compliance, and marketing products and services. It also provides specialized tax products to accounting professionals. Its offerings include TurboTax, Credit Karma, QuickBooks, and Mailchimp. Lacerte, ProSeries, and ProConnect Tax Online. Its Global Business Solutions segment serves small and mid-market businesses around the world, and the accounting professionals who assist and advise them. Its Consumer segment serves consumers and includes do-it-yourself and assisted TurboTax income tax preparation products and services sold in the United States and Canada. Its Credit Karma segment serves consumers with a personal finance platform that provides personalized recommendations for credit card, home, auto, and personal loan, and insurance products. Its ProTax segment serves professional accountants in the United States and Canada.</v>
    <v>18200</v>
    <v>Nasdaq Stock Market</v>
    <v>XNAS</v>
    <v>XNAS</v>
    <v>2700 Coast Avenue, MOUNTAIN VIEW, CA, 94043 US</v>
    <v>407.38990000000001</v>
    <v>Financial Technology (Fintech) &amp; Infrastructure</v>
    <v>Stock</v>
    <v>46066.967230103903</v>
    <v>261</v>
    <v>389.32</v>
    <v>111142675540</v>
    <v>INTUIT INC.</v>
    <v>INTUIT INC.</v>
    <v>397.01499999999999</v>
    <v>27.3278</v>
    <v>397.96</v>
    <v>399.4</v>
    <v>399.75</v>
    <v>278274100</v>
    <v>INTU</v>
    <v>INTUIT INC. (XNAS:INTU)</v>
    <v>4888297</v>
    <v>3807990</v>
    <v>1993</v>
  </rv>
  <rv s="2">
    <v>262</v>
  </rv>
  <rv s="0">
    <v>https://www.bing.com/financeapi/forcetrigger?t=a1nz8m&amp;q=XNAS%3aAVGO&amp;form=skydnc</v>
    <v>Learn more on Bing</v>
  </rv>
  <rv s="10">
    <v>en-US</v>
    <v>a1nz8m</v>
    <v>268435456</v>
    <v>1</v>
    <v>Powered by Refinitiv</v>
    <v>24</v>
    <v>BROADCOM INC. (XNAS:AVGO)</v>
    <v>2</v>
    <v>25</v>
    <v>Finance</v>
    <v>26</v>
    <v>414.61</v>
    <v>138.1</v>
    <v>1.2273000000000001</v>
    <v>-6</v>
    <v>-9.9890000000000005E-4</v>
    <v>-1.8118000000000002E-2</v>
    <v>-0.32479999999999998</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334.32</v>
    <v>Semiconductors &amp; Semiconductor Equipment</v>
    <v>Stock</v>
    <v>46066.999884918747</v>
    <v>264</v>
    <v>324.69</v>
    <v>1541720066580</v>
    <v>BROADCOM INC.</v>
    <v>BROADCOM INC.</v>
    <v>329.85</v>
    <v>69.427700000000002</v>
    <v>331.17</v>
    <v>325.17</v>
    <v>324.84519999999998</v>
    <v>4741274000</v>
    <v>AVGO</v>
    <v>BROADCOM INC. (XNAS:AVGO)</v>
    <v>18397161</v>
    <v>26912788</v>
    <v>2018</v>
  </rv>
  <rv s="2">
    <v>265</v>
  </rv>
  <rv s="0">
    <v>http://en.wikipedia.org/wiki/Qualcomm</v>
    <v>Wikipedia</v>
  </rv>
  <rv s="3">
    <v>18</v>
    <v>267</v>
  </rv>
  <rv s="4">
    <v>9</v>
    <v>https://www.bing.com/th?id=AMMS_2b1c176dae370ecc0d55a1517537f595&amp;qlt=95</v>
    <v>268</v>
    <v>0</v>
    <v>https://www.bing.com/images/search?form=xlimg&amp;q=qualcomm</v>
    <v>Image of QUALCOMM INCORPORATED</v>
  </rv>
  <rv s="0">
    <v>https://www.bing.com/financeapi/forcetrigger?t=a21k2w&amp;q=XNAS%3aQCOM&amp;form=skydnc</v>
    <v>Learn more on Bing</v>
  </rv>
  <rv s="14">
    <v>en-US</v>
    <v>a21k2w</v>
    <v>268435456</v>
    <v>1</v>
    <v>Powered by Refinitiv</v>
    <v>37</v>
    <v>QUALCOMM INCORPORATED (XNAS:QCOM)</v>
    <v>7</v>
    <v>38</v>
    <v>Finance</v>
    <v>19</v>
    <v>205.95</v>
    <v>120.8019</v>
    <v>1.2494000000000001</v>
    <v>2.23</v>
    <v>-1.3500000000000001E-3</v>
    <v>1.6105000000000001E-2</v>
    <v>-0.19</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141.47999999999999</v>
    <v>269</v>
    <v>Semiconductors &amp; Semiconductor Equipment</v>
    <v>Stock</v>
    <v>46066.912746099217</v>
    <v>270</v>
    <v>136.74</v>
    <v>150126900000</v>
    <v>QUALCOMM INCORPORATED</v>
    <v>QUALCOMM INCORPORATED</v>
    <v>137.12</v>
    <v>28.607099999999999</v>
    <v>138.47</v>
    <v>140.69999999999999</v>
    <v>140.51</v>
    <v>1067000000</v>
    <v>QCOM</v>
    <v>QUALCOMM INCORPORATED (XNAS:QCOM)</v>
    <v>13134422</v>
    <v>11133995</v>
    <v>1991</v>
  </rv>
  <rv s="2">
    <v>271</v>
  </rv>
  <rv s="0">
    <v>https://www.bing.com/financeapi/forcetrigger?t=a1o2lh&amp;q=XNYS%3aAXP&amp;form=skydnc</v>
    <v>Learn more on Bing</v>
  </rv>
  <rv s="10">
    <v>en-US</v>
    <v>a1o2lh</v>
    <v>268435456</v>
    <v>1</v>
    <v>Powered by Refinitiv</v>
    <v>24</v>
    <v>AMERICAN EXPRESS COMPANY (XNYS:AXP)</v>
    <v>2</v>
    <v>25</v>
    <v>Finance</v>
    <v>26</v>
    <v>387.49</v>
    <v>220.43</v>
    <v>1.1353</v>
    <v>-5.54</v>
    <v>3.0220000000000004E-3</v>
    <v>-1.6156999999999998E-2</v>
    <v>1.02</v>
    <v>USD</v>
    <v>American Express Company is a globally integrated payments company with card-issuing, merchant-acquiring and card network businesses. It offers products and services to a range of customers, including consumers, small businesses, mid-sized companies and large corporations around the world. Its segments include U.S. Consumer Services (USCS), Commercial Services (CS), International Card Services (ICS) and Global Merchant and Network Services (GMNS). USCS offers travel and lifestyle services as well as banking and non-card financing products. CS offers payment and expense management, banking and non-card financing products. ICS provides services to international customers, including travel and lifestyle services, and manages certain international joint ventures and its loyalty coalition business. GMNS operates a payments network that processes and settles card transactions, acquires merchants and provides multichannel marketing programs and capabilities, services and data analytics.</v>
    <v>76800</v>
    <v>New York Stock Exchange</v>
    <v>XNYS</v>
    <v>XNYS</v>
    <v>200 Vesey Street, 50Th Floor, NEW YORK, NY, 10285 US</v>
    <v>344.87</v>
    <v>Banking Services</v>
    <v>Stock</v>
    <v>46066.967229490627</v>
    <v>273</v>
    <v>336.21</v>
    <v>231622366759</v>
    <v>AMERICAN EXPRESS COMPANY</v>
    <v>AMERICAN EXPRESS COMPANY</v>
    <v>342.6</v>
    <v>22.295400000000001</v>
    <v>342.88</v>
    <v>337.34</v>
    <v>338.52</v>
    <v>686614000</v>
    <v>AXP</v>
    <v>AMERICAN EXPRESS COMPANY (XNYS:AXP)</v>
    <v>3814364</v>
    <v>3317958</v>
    <v>1965</v>
  </rv>
  <rv s="2">
    <v>274</v>
  </rv>
  <rv s="0">
    <v>https://www.bing.com/financeapi/forcetrigger?t=a1mou2&amp;q=XNAS%3aAAPL&amp;form=skydnc</v>
    <v>Learn more on Bing</v>
  </rv>
  <rv s="10">
    <v>en-US</v>
    <v>a1mou2</v>
    <v>268435456</v>
    <v>1</v>
    <v>Powered by Refinitiv</v>
    <v>24</v>
    <v>APPLE INC. (XNAS:AAPL)</v>
    <v>2</v>
    <v>25</v>
    <v>Finance</v>
    <v>19</v>
    <v>288.62</v>
    <v>169.21010000000001</v>
    <v>1.1079000000000001</v>
    <v>-5.95</v>
    <v>-1.72E-3</v>
    <v>-2.2733E-2</v>
    <v>-0.44</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262.23</v>
    <v>Computers, Phones &amp; Household Electronics</v>
    <v>Stock</v>
    <v>46066.967229374997</v>
    <v>276</v>
    <v>255.45</v>
    <v>3760656606000</v>
    <v>APPLE INC.</v>
    <v>APPLE INC.</v>
    <v>262.01</v>
    <v>33.252099999999999</v>
    <v>261.73</v>
    <v>255.78</v>
    <v>255.34</v>
    <v>14702700000</v>
    <v>AAPL</v>
    <v>APPLE INC. (XNAS:AAPL)</v>
    <v>56290673</v>
    <v>56006543</v>
    <v>1977</v>
  </rv>
  <rv s="2">
    <v>277</v>
  </rv>
  <rv s="0">
    <v>https://www.bing.com/financeapi/forcetrigger?t=a1u3rw&amp;q=XNAS%3aGOOGL&amp;form=skydnc</v>
    <v>Learn more on Bing</v>
  </rv>
  <rv s="10">
    <v>en-US</v>
    <v>a1u3rw</v>
    <v>268435456</v>
    <v>1</v>
    <v>Powered by Refinitiv</v>
    <v>24</v>
    <v>ALPHABET INC. (XNAS:GOOGL)</v>
    <v>2</v>
    <v>25</v>
    <v>Finance</v>
    <v>26</v>
    <v>349</v>
    <v>140.53</v>
    <v>1.1077999999999999</v>
    <v>-3.28</v>
    <v>-1.2099999999999999E-3</v>
    <v>-1.0615000000000001E-2</v>
    <v>-0.37</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308.63</v>
    <v>Software &amp; IT Services</v>
    <v>Stock</v>
    <v>46066.999884872654</v>
    <v>279</v>
    <v>303.70999999999998</v>
    <v>3698294840000</v>
    <v>ALPHABET INC.</v>
    <v>ALPHABET INC.</v>
    <v>307.72500000000002</v>
    <v>28.584599999999998</v>
    <v>309</v>
    <v>305.72000000000003</v>
    <v>305.35000000000002</v>
    <v>12097000000</v>
    <v>GOOGL</v>
    <v>ALPHABET INC. (XNAS:GOOGL)</v>
    <v>38499701</v>
    <v>37950409</v>
    <v>2015</v>
  </rv>
  <rv s="2">
    <v>280</v>
  </rv>
  <rv s="0">
    <v>https://www.bing.com/financeapi/forcetrigger?t=a1u3p2&amp;q=XNAS%3aGOOG&amp;form=skydnc</v>
    <v>Learn more on Bing</v>
  </rv>
  <rv s="10">
    <v>en-US</v>
    <v>a1u3p2</v>
    <v>268435456</v>
    <v>1</v>
    <v>Powered by Refinitiv</v>
    <v>24</v>
    <v>ALPHABET INC. (XNAS:GOOG)</v>
    <v>2</v>
    <v>25</v>
    <v>Finance</v>
    <v>26</v>
    <v>350.15</v>
    <v>142.66</v>
    <v>1.1077999999999999</v>
    <v>-3.35</v>
    <v>-4.5750000000000001E-4</v>
    <v>-1.0827999999999999E-2</v>
    <v>-0.14000000000000001</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308.89</v>
    <v>Software &amp; IT Services</v>
    <v>Stock</v>
    <v>46066.988536307814</v>
    <v>282</v>
    <v>303.89999999999998</v>
    <v>3701923940000</v>
    <v>ALPHABET INC.</v>
    <v>ALPHABET INC.</v>
    <v>307.98500000000001</v>
    <v>28.6615</v>
    <v>309.37</v>
    <v>306.02</v>
    <v>305.88</v>
    <v>12097000000</v>
    <v>GOOG</v>
    <v>ALPHABET INC. (XNAS:GOOG)</v>
    <v>20235950</v>
    <v>24263770</v>
    <v>2015</v>
  </rv>
  <rv s="2">
    <v>283</v>
  </rv>
  <rv s="0">
    <v>https://www.bing.com/financeapi/forcetrigger?t=a25tgh&amp;q=XNYS%3aWFC&amp;form=skydnc</v>
    <v>Learn more on Bing</v>
  </rv>
  <rv s="10">
    <v>en-US</v>
    <v>a25tgh</v>
    <v>268435456</v>
    <v>1</v>
    <v>Powered by Refinitiv</v>
    <v>24</v>
    <v>WELLS FARGO &amp; COMPANY (XNYS:WFC)</v>
    <v>2</v>
    <v>25</v>
    <v>Finance</v>
    <v>26</v>
    <v>97.76</v>
    <v>58.42</v>
    <v>1.0686</v>
    <v>0.65</v>
    <v>-2.0690000000000001E-3</v>
    <v>7.5329999999999998E-3</v>
    <v>-0.18</v>
    <v>USD</v>
    <v>Wells Fargo &amp; Company is a financial services company. The Company provides a diversified set of banking, investment and mortgage products and services, as well as consumer and commercial finance, to individuals, businesses and institutions. The Company operates through four segments: Consumer Banking and Lending, Commercial Banking, Corporate and Investment Banking, and Wealth &amp; Investment Management. The Company provides consumer financial products and services, including checking and savings accounts, credit and debit cards, and auto, residential mortgage, and small business lending. In addition, the Company offers financial planning, private banking, investment management, and fiduciary services. It also provides financial solutions to businesses through products and services including traditional commercial loans and lines of credit, letters of credit, asset-based lending and leasing, trade financing, treasury management, and investment banking services.</v>
    <v>205198</v>
    <v>New York Stock Exchange</v>
    <v>XNYS</v>
    <v>XNYS</v>
    <v>420 Montgomery Street, SAN FRANCISCO, CA, 94104 US</v>
    <v>87.444999999999993</v>
    <v>Banking Services</v>
    <v>Stock</v>
    <v>46066.967229467191</v>
    <v>285</v>
    <v>85.09</v>
    <v>268870644000</v>
    <v>WELLS FARGO &amp; COMPANY</v>
    <v>WELLS FARGO &amp; COMPANY</v>
    <v>85.68</v>
    <v>13.7624</v>
    <v>86.29</v>
    <v>86.94</v>
    <v>86.8</v>
    <v>3092600000</v>
    <v>WFC</v>
    <v>WELLS FARGO &amp; COMPANY (XNYS:WFC)</v>
    <v>12424984</v>
    <v>17701378</v>
    <v>1929</v>
  </rv>
  <rv s="2">
    <v>286</v>
  </rv>
  <rv s="0">
    <v>https://en.wikipedia.org/wiki/Microsoft</v>
    <v>Wikipedia</v>
  </rv>
  <rv s="3">
    <v>18</v>
    <v>288</v>
  </rv>
  <rv s="4">
    <v>9</v>
    <v>https://www.bing.com/th?id=AMMS_e6e837c7bf3a77408619758b7447855a&amp;qlt=95</v>
    <v>289</v>
    <v>0</v>
    <v>https://www.bing.com/images/search?form=xlimg&amp;q=microsoft</v>
    <v>Image of MICROSOFT CORPORATION</v>
  </rv>
  <rv s="0">
    <v>https://www.bing.com/financeapi/forcetrigger?t=a1xzim&amp;q=XNAS%3aMSFT&amp;form=skydnc</v>
    <v>Learn more on Bing</v>
  </rv>
  <rv s="14">
    <v>en-US</v>
    <v>a1xzim</v>
    <v>268435456</v>
    <v>1</v>
    <v>Powered by Refinitiv</v>
    <v>37</v>
    <v>MICROSOFT CORPORATION (XNAS:MSFT)</v>
    <v>7</v>
    <v>38</v>
    <v>Finance</v>
    <v>19</v>
    <v>555.45000000000005</v>
    <v>344.79</v>
    <v>1.0964</v>
    <v>-0.52</v>
    <v>-2.8660000000000001E-3</v>
    <v>-1.2939999999999998E-3</v>
    <v>-1.1499999999999999</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405.54</v>
    <v>290</v>
    <v>Software &amp; IT Services</v>
    <v>Stock</v>
    <v>46066.967230520313</v>
    <v>291</v>
    <v>398.05</v>
    <v>2980053430280</v>
    <v>MICROSOFT CORPORATION</v>
    <v>MICROSOFT CORPORATION</v>
    <v>404.45</v>
    <v>25.142600000000002</v>
    <v>401.84</v>
    <v>401.32</v>
    <v>400.17</v>
    <v>7425629000</v>
    <v>MSFT</v>
    <v>MICROSOFT CORPORATION (XNAS:MSFT)</v>
    <v>34091553</v>
    <v>41069262</v>
    <v>1993</v>
  </rv>
  <rv s="2">
    <v>292</v>
  </rv>
  <rv s="0">
    <v>https://www.bing.com/financeapi/forcetrigger?t=a1xroc&amp;q=XNYS%3aMMM&amp;form=skydnc</v>
    <v>Learn more on Bing</v>
  </rv>
  <rv s="10">
    <v>en-US</v>
    <v>a1xroc</v>
    <v>268435456</v>
    <v>1</v>
    <v>Powered by Refinitiv</v>
    <v>24</v>
    <v>3M COMPANY (XNYS:MMM)</v>
    <v>2</v>
    <v>25</v>
    <v>Finance</v>
    <v>26</v>
    <v>177.41</v>
    <v>121.97709999999999</v>
    <v>1.0483</v>
    <v>-2.0299999999999998</v>
    <v>2.212E-3</v>
    <v>-1.1677999999999999E-2</v>
    <v>0.38</v>
    <v>USD</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60500</v>
    <v>New York Stock Exchange</v>
    <v>XNYS</v>
    <v>XNYS</v>
    <v>3M Center, Bldg. 220-9E-02, SAINT PAUL, MN, 55144-1000 US</v>
    <v>174.7</v>
    <v>Consumer Goods Conglomerates</v>
    <v>Stock</v>
    <v>46066.90154736094</v>
    <v>294</v>
    <v>170.57499999999999</v>
    <v>90487060000</v>
    <v>3M COMPANY</v>
    <v>3M COMPANY</v>
    <v>174.5</v>
    <v>28.992899999999999</v>
    <v>173.83</v>
    <v>171.8</v>
    <v>172.2</v>
    <v>526700000</v>
    <v>MMM</v>
    <v>3M COMPANY (XNYS:MMM)</v>
    <v>3178374</v>
    <v>4728256</v>
    <v>1929</v>
  </rv>
  <rv s="2">
    <v>295</v>
  </rv>
  <rv s="0">
    <v>https://www.bing.com/financeapi/forcetrigger?t=a1uj52&amp;q=XNYS%3aHD&amp;form=skydnc</v>
    <v>Learn more on Bing</v>
  </rv>
  <rv s="10">
    <v>en-US</v>
    <v>a1uj52</v>
    <v>268435456</v>
    <v>1</v>
    <v>Powered by Refinitiv</v>
    <v>24</v>
    <v>THE HOME DEPOT, INC. (XNYS:HD)</v>
    <v>2</v>
    <v>25</v>
    <v>Finance</v>
    <v>26</v>
    <v>426.75</v>
    <v>326.31</v>
    <v>1.0751999999999999</v>
    <v>0.78</v>
    <v>-3.836E-3</v>
    <v>1.9989999999999999E-3</v>
    <v>-1.5</v>
    <v>USD</v>
    <v>The Home Depot, Inc. is a home improvement specialty retailer. The Company offers an assortment of building materials, home improvement products, lawn and garden products, decor products, and facilities maintenance, repair, and operations products, in stores and online. It also provides various services, including home improvement installation services, and tool and equipment rental. The Company operates approximately 2,353 retail stores, over 800 branches and more than 325 distribution centers that directly fulfill customer orders across all 50 states, the District of Columbia, Puerto Rico, the U.S. Virgin Islands, Guam, 10 Canadian provinces and Mexico. Its stores average approximately 105,000 square feet of enclosed space, with approximately 24,000 additional square feet of outside garden area. The Company serves two primary customer groups, including both do-it-yourself (DIY) and Do-It-For-Me (DIFM) customers and Professional Customers (Pros).</v>
    <v>470000</v>
    <v>New York Stock Exchange</v>
    <v>XNYS</v>
    <v>XNYS</v>
    <v>2455 Paces Ferry Road, ATLANTA, GA, 30339 US</v>
    <v>394</v>
    <v>Specialty Retailers</v>
    <v>Stock</v>
    <v>46066.997081724221</v>
    <v>297</v>
    <v>387.1</v>
    <v>389244996500</v>
    <v>THE HOME DEPOT, INC.</v>
    <v>THE HOME DEPOT, INC.</v>
    <v>390.2</v>
    <v>26.616</v>
    <v>390.22</v>
    <v>391</v>
    <v>389.55</v>
    <v>995511500</v>
    <v>HD</v>
    <v>THE HOME DEPOT, INC. (XNYS:HD)</v>
    <v>2875923</v>
    <v>4424051</v>
    <v>1978</v>
  </rv>
  <rv s="2">
    <v>298</v>
  </rv>
  <rv s="0">
    <v>https://www.bing.com/financeapi/forcetrigger?t=a1waa2&amp;q=XNYS%3aJPM&amp;form=skydnc</v>
    <v>Learn more on Bing</v>
  </rv>
  <rv s="10">
    <v>en-US</v>
    <v>a1waa2</v>
    <v>268435456</v>
    <v>1</v>
    <v>Powered by Refinitiv</v>
    <v>24</v>
    <v>JPMORGAN CHASE &amp; CO. (XNYS:JPM)</v>
    <v>2</v>
    <v>25</v>
    <v>Finance</v>
    <v>26</v>
    <v>337.25</v>
    <v>202.16</v>
    <v>1.0526</v>
    <v>-0.16</v>
    <v>1.256E-3</v>
    <v>-5.287E-4</v>
    <v>0.38</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304.29000000000002</v>
    <v>Banking Services</v>
    <v>Stock</v>
    <v>46066.967226678127</v>
    <v>300</v>
    <v>296.52</v>
    <v>815546576000</v>
    <v>JPMORGAN CHASE &amp; CO.</v>
    <v>JPMORGAN CHASE &amp; CO.</v>
    <v>298.52</v>
    <v>15.1242</v>
    <v>302.64</v>
    <v>302.48</v>
    <v>302.93</v>
    <v>2696200000</v>
    <v>JPM</v>
    <v>JPMORGAN CHASE &amp; CO. (XNYS:JPM)</v>
    <v>9114526</v>
    <v>12411182</v>
    <v>1968</v>
  </rv>
  <rv s="2">
    <v>301</v>
  </rv>
  <rv s="0">
    <v>https://www.bing.com/financeapi/forcetrigger?t=a1q6k2&amp;q=XNAS%3aCOST&amp;form=skydnc</v>
    <v>Learn more on Bing</v>
  </rv>
  <rv s="10">
    <v>en-US</v>
    <v>a1q6k2</v>
    <v>268435456</v>
    <v>1</v>
    <v>Powered by Refinitiv</v>
    <v>24</v>
    <v>COSTCO WHOLESALE CORPORATION (XNAS:COST)</v>
    <v>2</v>
    <v>25</v>
    <v>Finance</v>
    <v>26</v>
    <v>1078.2349999999999</v>
    <v>844.06</v>
    <v>0.99629999999999996</v>
    <v>19.62</v>
    <v>-2.14E-3</v>
    <v>1.9642E-2</v>
    <v>-2.1800000000000002</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1022.88</v>
    <v>Diversified Retail</v>
    <v>Stock</v>
    <v>46066.967229883594</v>
    <v>303</v>
    <v>993.76</v>
    <v>452072106512</v>
    <v>COSTCO WHOLESALE CORPORATION</v>
    <v>COSTCO WHOLESALE CORPORATION</v>
    <v>1000</v>
    <v>53.506100000000004</v>
    <v>998.86</v>
    <v>1018.48</v>
    <v>1016.3</v>
    <v>443869400</v>
    <v>COST</v>
    <v>COSTCO WHOLESALE CORPORATION (XNAS:COST)</v>
    <v>2661568</v>
    <v>2662398</v>
    <v>1987</v>
  </rv>
  <rv s="2">
    <v>304</v>
  </rv>
  <rv s="0">
    <v>https://www.bing.com/financeapi/forcetrigger?t=a24p1h&amp;q=XNAS%3aTXN&amp;form=skydnc</v>
    <v>Learn more on Bing</v>
  </rv>
  <rv s="10">
    <v>en-US</v>
    <v>a24p1h</v>
    <v>268435456</v>
    <v>1</v>
    <v>Powered by Refinitiv</v>
    <v>24</v>
    <v>TEXAS INSTRUMENTS INCORPORATED (XNAS:TXN)</v>
    <v>2</v>
    <v>25</v>
    <v>Finance</v>
    <v>26</v>
    <v>231.32</v>
    <v>139.94999999999999</v>
    <v>0.98</v>
    <v>3.16</v>
    <v>8.8429999999999997E-4</v>
    <v>1.417E-2</v>
    <v>0.2</v>
    <v>USD</v>
    <v>Texas Instruments Incorporated is a global semiconductor company that designs, manufactures, tests, and sells analog and embedded processing chips for markets, such as industrial, automotive, personal electronics, communications equipment, and enterprise systems. Its Analog segment includes product lines, such as Power and Signal Chain. Power includes products that help customers manage power in electronic systems. Its portfolio is designed to manage power requirements across different voltage levels, including battery-management solutions, DC/DC switching regulators, AC/DC and isolated DC/DC switching regulators, power switches, linear and low-dropout regulators, voltage references, and others.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v>
    <v>33000</v>
    <v>Nasdaq Stock Market</v>
    <v>XNAS</v>
    <v>XNAS</v>
    <v>12500 T I Blvd, DALLAS, TX, 75243-0592 US</v>
    <v>226.88499999999999</v>
    <v>Semiconductors &amp; Semiconductor Equipment</v>
    <v>Stock</v>
    <v>46066.975759409375</v>
    <v>306</v>
    <v>221.54</v>
    <v>205251688928</v>
    <v>TEXAS INSTRUMENTS INCORPORATED</v>
    <v>TEXAS INSTRUMENTS INCORPORATED</v>
    <v>221.66499999999999</v>
    <v>40.692500000000003</v>
    <v>223</v>
    <v>226.16</v>
    <v>226.36</v>
    <v>907550800</v>
    <v>TXN</v>
    <v>TEXAS INSTRUMENTS INCORPORATED (XNAS:TXN)</v>
    <v>5011904</v>
    <v>9288153</v>
    <v>1938</v>
  </rv>
  <rv s="2">
    <v>307</v>
  </rv>
  <rv s="0">
    <v>https://www.bing.com/financeapi/forcetrigger?t=a22k9c&amp;q=XNAS%3aSBUX&amp;form=skydnc</v>
    <v>Learn more on Bing</v>
  </rv>
  <rv s="10">
    <v>en-US</v>
    <v>a22k9c</v>
    <v>268435456</v>
    <v>1</v>
    <v>Powered by Refinitiv</v>
    <v>24</v>
    <v>STARBUCKS CORPORATION (XNAS:SBUX)</v>
    <v>2</v>
    <v>25</v>
    <v>Finance</v>
    <v>26</v>
    <v>117.46</v>
    <v>75.5</v>
    <v>0.9274</v>
    <v>-2.35</v>
    <v>1.7060000000000001E-3</v>
    <v>-2.4444E-2</v>
    <v>0.16</v>
    <v>USD</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381000</v>
    <v>Nasdaq Stock Market</v>
    <v>XNAS</v>
    <v>XNAS</v>
    <v>2401 Utah Ave S, Ms: S-La1, SEATTLE, WA, 98134 US</v>
    <v>96.915000000000006</v>
    <v>Hotels &amp; Entertainment Services</v>
    <v>Stock</v>
    <v>46066.999603738281</v>
    <v>309</v>
    <v>93.594999999999999</v>
    <v>106854947000</v>
    <v>STARBUCKS CORPORATION</v>
    <v>STARBUCKS CORPORATION</v>
    <v>95.86</v>
    <v>80.087999999999994</v>
    <v>96.14</v>
    <v>93.79</v>
    <v>93.95</v>
    <v>1139300000</v>
    <v>SBUX</v>
    <v>STARBUCKS CORPORATION (XNAS:SBUX)</v>
    <v>8948975</v>
    <v>10778484</v>
    <v>1985</v>
  </rv>
  <rv s="2">
    <v>310</v>
  </rv>
  <rv s="0">
    <v>https://www.bing.com/financeapi/forcetrigger?t=a1qe5r&amp;q=XNAS%3aCSCO&amp;form=skydnc</v>
    <v>Learn more on Bing</v>
  </rv>
  <rv s="10">
    <v>en-US</v>
    <v>a1qe5r</v>
    <v>268435456</v>
    <v>1</v>
    <v>Powered by Refinitiv</v>
    <v>24</v>
    <v>CISCO SYSTEMS, INC. (XNAS:CSCO)</v>
    <v>2</v>
    <v>25</v>
    <v>Finance</v>
    <v>19</v>
    <v>88.185000000000002</v>
    <v>52.11</v>
    <v>0.86739999999999995</v>
    <v>1.85</v>
    <v>-1.8220000000000001E-3</v>
    <v>2.4666999999999998E-2</v>
    <v>-0.14000000000000001</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77.3</v>
    <v>Communications &amp; Networking</v>
    <v>Stock</v>
    <v>46066.875079501566</v>
    <v>312</v>
    <v>73.42</v>
    <v>303641573900</v>
    <v>CISCO SYSTEMS, INC.</v>
    <v>CISCO SYSTEMS, INC.</v>
    <v>74.375</v>
    <v>27.014099999999999</v>
    <v>75</v>
    <v>76.849999999999994</v>
    <v>76.709999999999994</v>
    <v>3951094000</v>
    <v>CSCO</v>
    <v>CISCO SYSTEMS, INC. (XNAS:CSCO)</v>
    <v>42886422</v>
    <v>24775053</v>
    <v>2021</v>
  </rv>
  <rv s="2">
    <v>313</v>
  </rv>
  <rv s="0">
    <v>https://www.bing.com/financeapi/forcetrigger?t=a1x8w7&amp;q=XNYS%3aMA&amp;form=skydnc</v>
    <v>Learn more on Bing</v>
  </rv>
  <rv s="10">
    <v>en-US</v>
    <v>a1x8w7</v>
    <v>268435456</v>
    <v>1</v>
    <v>Powered by Refinitiv</v>
    <v>24</v>
    <v>MASTERCARD INCORPORATED. (XNYS:MA)</v>
    <v>2</v>
    <v>25</v>
    <v>Finance</v>
    <v>19</v>
    <v>601.77</v>
    <v>465.59</v>
    <v>0.8276</v>
    <v>-9.1</v>
    <v>5.7870000000000003E-4</v>
    <v>-1.7252E-2</v>
    <v>0.3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39800</v>
    <v>New York Stock Exchange</v>
    <v>XNYS</v>
    <v>XNYS</v>
    <v>2000 Purchase St, PURCHASE, NY, 10577 US</v>
    <v>533.99</v>
    <v>Software &amp; IT Services</v>
    <v>Stock</v>
    <v>46066.881944444445</v>
    <v>315</v>
    <v>516.02</v>
    <v>462279823828</v>
    <v>MASTERCARD INCORPORATED.</v>
    <v>MASTERCARD INCORPORATED.</v>
    <v>529.05999999999995</v>
    <v>31.9178</v>
    <v>527.46</v>
    <v>518.36</v>
    <v>518.66</v>
    <v>891812300</v>
    <v>MA</v>
    <v>MASTERCARD INCORPORATED. (XNYS:MA)</v>
    <v>4017748</v>
    <v>4361597</v>
    <v>2001</v>
  </rv>
  <rv s="2">
    <v>316</v>
  </rv>
  <rv s="0">
    <v>https://www.bing.com/financeapi/forcetrigger?t=a256cw&amp;q=XNYS%3aV&amp;form=skydnc</v>
    <v>Learn more on Bing</v>
  </rv>
  <rv s="10">
    <v>en-US</v>
    <v>a256cw</v>
    <v>268435456</v>
    <v>1</v>
    <v>Powered by Refinitiv</v>
    <v>24</v>
    <v>VISA INC. (XNYS:V)</v>
    <v>2</v>
    <v>25</v>
    <v>Finance</v>
    <v>19</v>
    <v>375.51</v>
    <v>299</v>
    <v>0.78310000000000002</v>
    <v>-10.1</v>
    <v>1.0510000000000001E-3</v>
    <v>-3.1156000000000003E-2</v>
    <v>0.33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34100</v>
    <v>New York Stock Exchange</v>
    <v>XNYS</v>
    <v>XNYS</v>
    <v>P.O. Box 8999, SAN FRANCISCO, CA, 94128-8999 US</v>
    <v>326.47500000000002</v>
    <v>Professional &amp; Commercial Services</v>
    <v>Stock</v>
    <v>46066.932999941404</v>
    <v>318</v>
    <v>312.82</v>
    <v>598639306720</v>
    <v>VISA INC.</v>
    <v>VISA INC.</v>
    <v>323.83</v>
    <v>30.419499999999999</v>
    <v>324.18</v>
    <v>314.08</v>
    <v>314.41000000000003</v>
    <v>1906009000</v>
    <v>V</v>
    <v>VISA INC. (XNYS:V)</v>
    <v>11653917</v>
    <v>8747826</v>
    <v>2007</v>
  </rv>
  <rv s="2">
    <v>319</v>
  </rv>
  <rv s="0">
    <v>https://www.bing.com/financeapi/forcetrigger?t=a1mrar&amp;q=XNYS%3aABT&amp;form=skydnc</v>
    <v>Learn more on Bing</v>
  </rv>
  <rv s="10">
    <v>en-US</v>
    <v>a1mrar</v>
    <v>268435456</v>
    <v>1</v>
    <v>Powered by Refinitiv</v>
    <v>24</v>
    <v>ABBOTT LABORATORIES (XNYS:ABT)</v>
    <v>2</v>
    <v>25</v>
    <v>Finance</v>
    <v>26</v>
    <v>141.22999999999999</v>
    <v>105.27</v>
    <v>0.73929999999999996</v>
    <v>1.1399999999999999</v>
    <v>-5.9459999999999999E-3</v>
    <v>1.0227E-2</v>
    <v>-0.67</v>
    <v>USD</v>
    <v>Abbott Laboratories is a global healthcare company. The Company’s principal business is the discovery, development, manufacture, and sale of a broad and diversified line of healthcare products. Its segments include Established Pharmaceutical Products, Diagnostic Products, Nutritional Products, and Medical Devices. Established Pharmaceutical Products segment is engaged in the international sales of a broad line of branded generic pharmaceutical products. Diagnostic Products segment is involved in the worldwide sales of diagnostic systems and tests for blood banks, hospitals, commercial laboratories and alternate-care testing sites. Nutritional Products segment is engaged in the worldwide sales of a broad line of adult and pediatric nutritional products. Medical Devices segment is involved in the worldwide sales of rhythm management, electrophysiology, heart failure, vascular, structural heart, neuromodulation and diabetes care products. It serves people in more than 160 countries.</v>
    <v>114000</v>
    <v>New York Stock Exchange</v>
    <v>XNYS</v>
    <v>XNYS</v>
    <v>100 Abbott Park Road, Abbot Park, ABBOTT PARK, IL, 60064-3500 US</v>
    <v>113.11</v>
    <v>Healthcare Equipment &amp; Supplies</v>
    <v>Stock</v>
    <v>46066.982629745311</v>
    <v>321</v>
    <v>111.4</v>
    <v>195814375920</v>
    <v>ABBOTT LABORATORIES</v>
    <v>ABBOTT LABORATORIES</v>
    <v>111.77</v>
    <v>29.8782</v>
    <v>111.47</v>
    <v>112.61</v>
    <v>112.01</v>
    <v>1738872000</v>
    <v>ABT</v>
    <v>ABBOTT LABORATORIES (XNYS:ABT)</v>
    <v>7696671</v>
    <v>12719434</v>
    <v>1900</v>
  </rv>
  <rv s="2">
    <v>322</v>
  </rv>
  <rv s="0">
    <v>https://www.bing.com/financeapi/forcetrigger?t=a1otrw&amp;q=XNYS%3aBRK.B&amp;form=skydnc</v>
    <v>Learn more on Bing</v>
  </rv>
  <rv s="10">
    <v>en-US</v>
    <v>a1otrw</v>
    <v>268435456</v>
    <v>1</v>
    <v>Powered by Refinitiv</v>
    <v>24</v>
    <v>BERKSHIRE HATHAWAY INC. (XNYS:BRK.B)</v>
    <v>2</v>
    <v>25</v>
    <v>Finance</v>
    <v>26</v>
    <v>542.07000000000005</v>
    <v>455.185</v>
    <v>0.69220000000000004</v>
    <v>-2.77</v>
    <v>1.5679999999999999E-3</v>
    <v>-5.5400000000000007E-3</v>
    <v>0.78</v>
    <v>USD</v>
    <v>Berkshire Hathaway Inc. and its subsidiaries are engaged in diverse business activities, including insurance and reinsurance, utilities and energy, freight rail transportation, manufacturing, services and retailing. Its segments include Insurance, Burlington Northern Santa Fe (BNSF), Berkshire Hathaway Energy (BHE), Pilot Travel Centers (Pilot), Manufacturing, McLane Company (McLane), and Service and retailing. The Insurance segment includes GEICO, Berkshire Hathaway Primary Group, and Berkshire Hathaway Reinsurance Group. The BNSF segment includes the operation of railroad systems in North America. BHE segment offers regulated electric and gas utilities and real estate brokerage activities. Manufacturing segment manufacturers various products, such as industrial, consumer and building products. The McLane segment is engaged in wholesale distribution of groceries and non-food items. The Pilot segment is an operator of travel centers in North America and a marketer of wholesale fuel.</v>
    <v>392400</v>
    <v>New York Stock Exchange</v>
    <v>XNYS</v>
    <v>XNYS</v>
    <v>3555 Farnam Street, OMAHA, NE, 68131 US</v>
    <v>502.38</v>
    <v>Consumer Goods Conglomerates</v>
    <v>Stock</v>
    <v>46066.951223332813</v>
    <v>324</v>
    <v>495.5</v>
    <v>1068106000000</v>
    <v>BERKSHIRE HATHAWAY INC.</v>
    <v>BERKSHIRE HATHAWAY INC.</v>
    <v>500.15</v>
    <v>15.9901</v>
    <v>500.01</v>
    <v>497.24</v>
    <v>498.33</v>
    <v>1438220</v>
    <v>BRK.B</v>
    <v>BERKSHIRE HATHAWAY INC. (XNYS:BRK.B)</v>
    <v>4685852</v>
    <v>5051729</v>
    <v>1998</v>
  </rv>
  <rv s="2">
    <v>325</v>
  </rv>
  <rv s="0">
    <v>https://www.bing.com/financeapi/forcetrigger?t=a1qlz2&amp;q=XNYS%3aCVX&amp;form=skydnc</v>
    <v>Learn more on Bing</v>
  </rv>
  <rv s="10">
    <v>en-US</v>
    <v>a1qlz2</v>
    <v>268435456</v>
    <v>1</v>
    <v>Powered by Refinitiv</v>
    <v>24</v>
    <v>CHEVRON CORPORATION (XNYS:CVX)</v>
    <v>2</v>
    <v>25</v>
    <v>Finance</v>
    <v>26</v>
    <v>186.52</v>
    <v>132.04</v>
    <v>0.66239999999999999</v>
    <v>1.3</v>
    <v>1.204E-3</v>
    <v>7.1269999999999997E-3</v>
    <v>0.2213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184.84</v>
    <v>Oil &amp; Gas</v>
    <v>Stock</v>
    <v>46066.947429791406</v>
    <v>327</v>
    <v>181.72</v>
    <v>363726000000</v>
    <v>CHEVRON CORPORATION</v>
    <v>CHEVRON CORPORATION</v>
    <v>182.54</v>
    <v>27.436900000000001</v>
    <v>182.4</v>
    <v>183.7</v>
    <v>183.96129999999999</v>
    <v>1980000000</v>
    <v>CVX</v>
    <v>CHEVRON CORPORATION (XNYS:CVX)</v>
    <v>9034683</v>
    <v>11899332</v>
    <v>1926</v>
  </rv>
  <rv s="2">
    <v>328</v>
  </rv>
  <rv s="0">
    <v>https://www.bing.com/financeapi/forcetrigger?t=a25ya2&amp;q=XNYS%3aWMT&amp;form=skydnc</v>
    <v>Learn more on Bing</v>
  </rv>
  <rv s="10">
    <v>en-US</v>
    <v>a25ya2</v>
    <v>268435456</v>
    <v>1</v>
    <v>Powered by Refinitiv</v>
    <v>24</v>
    <v>WALMART INC. (XNAS:WMT)</v>
    <v>2</v>
    <v>25</v>
    <v>Finance</v>
    <v>19</v>
    <v>134.65</v>
    <v>79.81</v>
    <v>0.64290000000000003</v>
    <v>0.25</v>
    <v>1.1949999999999999E-3</v>
    <v>1.8709999999999998E-3</v>
    <v>0.16</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134.65</v>
    <v>Food &amp; Drug Retailing</v>
    <v>Stock</v>
    <v>46066.912709721873</v>
    <v>330</v>
    <v>131.75</v>
    <v>1067125659629</v>
    <v>WALMART INC.</v>
    <v>WALMART INC.</v>
    <v>132.69999999999999</v>
    <v>46.874000000000002</v>
    <v>133.63999999999999</v>
    <v>133.88999999999999</v>
    <v>134.05000000000001</v>
    <v>7970167000</v>
    <v>WMT</v>
    <v>WALMART INC. (XNAS:WMT)</v>
    <v>24131179</v>
    <v>43365538</v>
    <v>1969</v>
  </rv>
  <rv s="2">
    <v>331</v>
  </rv>
  <rv s="0">
    <v>http://en.wikipedia.org/wiki/McDonald's</v>
    <v>Wikipedia</v>
  </rv>
  <rv s="3">
    <v>18</v>
    <v>333</v>
  </rv>
  <rv s="4">
    <v>9</v>
    <v>https://www.bing.com/th?id=AMMS_7d8255243964a8970376f8dd41121106&amp;qlt=95</v>
    <v>334</v>
    <v>0</v>
    <v>https://www.bing.com/images/search?form=xlimg&amp;q=mcdonald%27s</v>
    <v>Image of MCDONALD'S CORPORATION</v>
  </rv>
  <rv s="0">
    <v>https://www.bing.com/financeapi/forcetrigger?t=a1xdec&amp;q=XNYS%3aMCD&amp;form=skydnc</v>
    <v>Learn more on Bing</v>
  </rv>
  <rv s="14">
    <v>en-US</v>
    <v>a1xdec</v>
    <v>268435456</v>
    <v>1</v>
    <v>Powered by Refinitiv</v>
    <v>37</v>
    <v>MCDONALD'S CORPORATION (XNYS:MCD)</v>
    <v>7</v>
    <v>38</v>
    <v>Finance</v>
    <v>26</v>
    <v>335.67</v>
    <v>283.47000000000003</v>
    <v>0.51859999999999995</v>
    <v>-4.46</v>
    <v>1.2820000000000002E-3</v>
    <v>-1.3429999999999999E-2</v>
    <v>0.42</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is comprised of markets, or countries in which it operates and franchises restaurants, including Australia, Canada, France, Germany, Italy, Poland, Spain, and the United Kingdom. This segment is 89% franchised. The International Developmental Licensed Markets &amp; Corporate segment is comprised of developmental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335.67</v>
    <v>335</v>
    <v>Hotels &amp; Entertainment Services</v>
    <v>Stock</v>
    <v>46066.970323437497</v>
    <v>336</v>
    <v>326.52999999999997</v>
    <v>233316024528</v>
    <v>MCDONALD'S CORPORATION</v>
    <v>MCDONALD'S CORPORATION</v>
    <v>332.5</v>
    <v>27.783200000000001</v>
    <v>332.08</v>
    <v>327.62</v>
    <v>328</v>
    <v>712154400</v>
    <v>MCD</v>
    <v>MCDONALD'S CORPORATION (XNYS:MCD)</v>
    <v>3587877</v>
    <v>3335294</v>
    <v>1964</v>
  </rv>
  <rv s="2">
    <v>337</v>
  </rv>
  <rv s="0">
    <v>http://en.wikipedia.org/wiki/Amgen</v>
    <v>Wikipedia</v>
  </rv>
  <rv s="3">
    <v>18</v>
    <v>339</v>
  </rv>
  <rv s="4">
    <v>9</v>
    <v>https://www.bing.com/th?id=AMMS_7651d2e878d4df4bb82a200be2db03e3&amp;qlt=95</v>
    <v>340</v>
    <v>0</v>
    <v>https://www.bing.com/images/search?form=xlimg&amp;q=amgen</v>
    <v>Image of AMGEN INC.</v>
  </rv>
  <rv s="0">
    <v>https://www.bing.com/financeapi/forcetrigger?t=a1nec7&amp;q=XNAS%3aAMGN&amp;form=skydnc</v>
    <v>Learn more on Bing</v>
  </rv>
  <rv s="14">
    <v>en-US</v>
    <v>a1nec7</v>
    <v>268435456</v>
    <v>1</v>
    <v>Powered by Refinitiv</v>
    <v>37</v>
    <v>AMGEN INC. (XNAS:AMGN)</v>
    <v>7</v>
    <v>38</v>
    <v>Finance</v>
    <v>19</v>
    <v>385.12</v>
    <v>261.43</v>
    <v>0.4531</v>
    <v>5.51</v>
    <v>-2.7179999999999999E-3</v>
    <v>1.5151E-2</v>
    <v>-1.0033000000000001</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28000</v>
    <v>Nasdaq Stock Market</v>
    <v>XNAS</v>
    <v>XNAS</v>
    <v>One Amgen Center Drive, THOUSAND OAKS, CA, 91320-1799 US</v>
    <v>370.42</v>
    <v>341</v>
    <v>Pharmaceuticals</v>
    <v>Stock</v>
    <v>46066.912766214846</v>
    <v>342</v>
    <v>361.71</v>
    <v>198801689633</v>
    <v>AMGEN INC.</v>
    <v>AMGEN INC.</v>
    <v>362.65499999999997</v>
    <v>25.551500000000001</v>
    <v>363.68</v>
    <v>369.19</v>
    <v>368.18669999999997</v>
    <v>538480700</v>
    <v>AMGN</v>
    <v>AMGEN INC. (XNAS:AMGN)</v>
    <v>2414170</v>
    <v>3043968</v>
    <v>1986</v>
  </rv>
  <rv s="2">
    <v>343</v>
  </rv>
  <rv s="0">
    <v>https://www.bing.com/financeapi/forcetrigger?t=a1zqnm&amp;q=XNYS%3aPFE&amp;form=skydnc</v>
    <v>Learn more on Bing</v>
  </rv>
  <rv s="10">
    <v>en-US</v>
    <v>a1zqnm</v>
    <v>268435456</v>
    <v>1</v>
    <v>Powered by Refinitiv</v>
    <v>24</v>
    <v>PFIZER INC. (XNYS:PFE)</v>
    <v>2</v>
    <v>25</v>
    <v>Finance</v>
    <v>19</v>
    <v>27.94</v>
    <v>20.914999999999999</v>
    <v>0.42849999999999999</v>
    <v>0.11</v>
    <v>2.5269999999999997E-3</v>
    <v>4.0039999999999997E-3</v>
    <v>6.9699999999999998E-2</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81000</v>
    <v>New York Stock Exchange</v>
    <v>XNYS</v>
    <v>XNYS</v>
    <v>66 HUDSON BOULEVARD EAST, NEW YORK, NY, 10001-2192 US</v>
    <v>27.94</v>
    <v>Pharmaceuticals</v>
    <v>Stock</v>
    <v>46066.885261550779</v>
    <v>345</v>
    <v>27.55</v>
    <v>156811826640</v>
    <v>PFIZER INC.</v>
    <v>PFIZER INC.</v>
    <v>27.6</v>
    <v>20.260200000000001</v>
    <v>27.47</v>
    <v>27.58</v>
    <v>27.649699999999999</v>
    <v>5685708000</v>
    <v>PFE</v>
    <v>PFIZER INC. (XNYS:PFE)</v>
    <v>36986727</v>
    <v>53740422</v>
    <v>1942</v>
  </rv>
  <rv s="2">
    <v>346</v>
  </rv>
  <rv s="0">
    <v>https://www.bing.com/financeapi/forcetrigger?t=a25552&amp;q=XNYS%3aRTX&amp;form=skydnc</v>
    <v>Learn more on Bing</v>
  </rv>
  <rv s="10">
    <v>en-US</v>
    <v>a25552</v>
    <v>268435456</v>
    <v>1</v>
    <v>Powered by Refinitiv</v>
    <v>24</v>
    <v>RTX CORPORATION (XNYS:RTX)</v>
    <v>2</v>
    <v>25</v>
    <v>Finance</v>
    <v>26</v>
    <v>206.48</v>
    <v>112.27</v>
    <v>0.42049999999999998</v>
    <v>-1.0900000000000001</v>
    <v>-2.9989999999999997E-4</v>
    <v>-5.4190000000000002E-3</v>
    <v>-0.06</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New York Stock Exchange</v>
    <v>XNYS</v>
    <v>XNYS</v>
    <v>1000 Wilson Blvd, ARLINGTON, VA, 22209 US</v>
    <v>203.7</v>
    <v>Aerospace &amp; Defense</v>
    <v>Stock</v>
    <v>46066.98565106406</v>
    <v>348</v>
    <v>198.5292</v>
    <v>268524714400</v>
    <v>RTX CORPORATION</v>
    <v>RTX CORPORATION</v>
    <v>201.14</v>
    <v>40.526800000000001</v>
    <v>201.14</v>
    <v>200.05</v>
    <v>200</v>
    <v>1342288000</v>
    <v>RTX</v>
    <v>RTX CORPORATION (XNYS:RTX)</v>
    <v>4939001</v>
    <v>6496893</v>
    <v>1934</v>
  </rv>
  <rv s="2">
    <v>349</v>
  </rv>
  <rv s="0">
    <v>https://www.bing.com/financeapi/forcetrigger?t=a24xlh&amp;q=XNYS%3aUNH&amp;form=skydnc</v>
    <v>Learn more on Bing</v>
  </rv>
  <rv s="10">
    <v>en-US</v>
    <v>a24xlh</v>
    <v>268435456</v>
    <v>1</v>
    <v>Powered by Refinitiv</v>
    <v>24</v>
    <v>UNITEDHEALTH GROUP INCORPORATED (XNYS:UNH)</v>
    <v>2</v>
    <v>25</v>
    <v>Finance</v>
    <v>26</v>
    <v>606.36</v>
    <v>234.6</v>
    <v>0.40860000000000002</v>
    <v>8.77</v>
    <v>-1.33E-3</v>
    <v>3.0839999999999999E-2</v>
    <v>-0.39</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400000</v>
    <v>New York Stock Exchange</v>
    <v>XNYS</v>
    <v>XNYS</v>
    <v>1 HEALTH DRIVE, EDEN PRAIRIE, MN, 55344 US</v>
    <v>293.45999999999998</v>
    <v>Healthcare Providers &amp; Services</v>
    <v>Stock</v>
    <v>46066.984497950783</v>
    <v>351</v>
    <v>284.51150000000001</v>
    <v>265537527204</v>
    <v>UNITEDHEALTH GROUP INCORPORATED</v>
    <v>UNITEDHEALTH GROUP INCORPORATED</v>
    <v>285.63</v>
    <v>21.5533</v>
    <v>284.37</v>
    <v>293.14</v>
    <v>292.8</v>
    <v>905838600</v>
    <v>UNH</v>
    <v>UNITEDHEALTH GROUP INCORPORATED (XNYS:UNH)</v>
    <v>10281936</v>
    <v>11689254</v>
    <v>2015</v>
  </rv>
  <rv s="2">
    <v>352</v>
  </rv>
  <rv s="0">
    <v>https://www.bing.com/financeapi/forcetrigger?t=axyhnm&amp;q=XNAS%3aPEP&amp;form=skydnc</v>
    <v>Learn more on Bing</v>
  </rv>
  <rv s="10">
    <v>en-US</v>
    <v>axyhnm</v>
    <v>268435456</v>
    <v>1</v>
    <v>Powered by Refinitiv</v>
    <v>24</v>
    <v>PEPSICO, INC. (XNAS:PEP)</v>
    <v>2</v>
    <v>25</v>
    <v>Finance</v>
    <v>26</v>
    <v>171.48</v>
    <v>127.6</v>
    <v>0.39650000000000002</v>
    <v>-1.26</v>
    <v>-3.2540000000000004E-3</v>
    <v>-7.5360000000000002E-3</v>
    <v>-0.54</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167.88</v>
    <v>Beverages</v>
    <v>Stock</v>
    <v>46066.967227152345</v>
    <v>354</v>
    <v>164.995</v>
    <v>226781735060</v>
    <v>PEPSICO, INC.</v>
    <v>PEPSICO, INC.</v>
    <v>167.2</v>
    <v>27.8599</v>
    <v>167.2</v>
    <v>165.94</v>
    <v>165.4</v>
    <v>1366649000</v>
    <v>PEP</v>
    <v>PEPSICO, INC. (XNAS:PEP)</v>
    <v>9286336</v>
    <v>9611404</v>
    <v>1986</v>
  </rv>
  <rv s="2">
    <v>355</v>
  </rv>
  <rv s="0">
    <v>https://www.bing.com/financeapi/forcetrigger?t=a1wyu2&amp;q=XNYS%3aLLY&amp;form=skydnc</v>
    <v>Learn more on Bing</v>
  </rv>
  <rv s="10">
    <v>en-US</v>
    <v>a1wyu2</v>
    <v>268435456</v>
    <v>1</v>
    <v>Powered by Refinitiv</v>
    <v>24</v>
    <v>ELI LILLY AND COMPANY (XNYS:LLY)</v>
    <v>2</v>
    <v>25</v>
    <v>Finance</v>
    <v>26</v>
    <v>1133.95</v>
    <v>623.78</v>
    <v>0.39810000000000001</v>
    <v>3.91</v>
    <v>2.4039999999999999E-3</v>
    <v>3.7719999999999997E-3</v>
    <v>2.5</v>
    <v>USD</v>
    <v>Eli Lilly and Company is a medicine company, which discovers, develops, manufactures, markets, and sells pharmaceutical products worldwide. Its cardiometabolic health products include Basaglar; Humalog, Humalog Mix 75/25, Humalog U-100, Humalog U-200, Humalog Mix 50/50, insulin lispro, and others; Humulin, Humulin 70/30, and others; Jardiance; Mounjaro; Trulicity; Zepbound; VERVE-102; VERVE-201, and VERVE-301. Its oncology products include Cyramza, Erbitux, Tyvyt, and Verzenio. Its immunology products include Ebglyss, Olumiant, Omvoh, and Taltz. Its neuroscience products include Emgality and Kisunla. The Company is also engaged in radiopharmaceutical discovery, development, and manufacturing efforts, and clinical and pre-clinical radioligand therapies in development for the treatment of cancer. It is also developing an oral small molecule inhibitor of a4b7 integrin for inflammatory bowel disease (IBD). It is evaluating its novel gene therapy candidate, ixoberogene soroparvovec.</v>
    <v>47000</v>
    <v>New York Stock Exchange</v>
    <v>XNYS</v>
    <v>XNYS</v>
    <v>Lilly Corporate Ctr, Drop Code 1094, INDIANAPOLIS, IN, 46285 US</v>
    <v>1064.3399999999999</v>
    <v>Pharmaceuticals</v>
    <v>Stock</v>
    <v>46066.955550323437</v>
    <v>357</v>
    <v>1033.69</v>
    <v>981516206830</v>
    <v>ELI LILLY AND COMPANY</v>
    <v>ELI LILLY AND COMPANY</v>
    <v>1039.98</v>
    <v>45.154299999999999</v>
    <v>1036.54</v>
    <v>1040.45</v>
    <v>1042.5</v>
    <v>943357400</v>
    <v>LLY</v>
    <v>ELI LILLY AND COMPANY (XNYS:LLY)</v>
    <v>2698728</v>
    <v>3453337</v>
    <v>1901</v>
  </rv>
  <rv s="2">
    <v>358</v>
  </rv>
  <rv s="0">
    <v>https://www.bing.com/financeapi/forcetrigger?t=a269ec&amp;q=XNYS%3aXOM&amp;form=skydnc</v>
    <v>Learn more on Bing</v>
  </rv>
  <rv s="10">
    <v>en-US</v>
    <v>a269ec</v>
    <v>268435456</v>
    <v>1</v>
    <v>Powered by Refinitiv</v>
    <v>24</v>
    <v>EXXON MOBIL CORPORATION (XNYS:XOM)</v>
    <v>2</v>
    <v>25</v>
    <v>Finance</v>
    <v>26</v>
    <v>156.93</v>
    <v>97.8</v>
    <v>0.34970000000000001</v>
    <v>-1.56</v>
    <v>3.0309999999999998E-3</v>
    <v>-1.0404999999999999E-2</v>
    <v>0.45</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151.66</v>
    <v>Oil &amp; Gas</v>
    <v>Stock</v>
    <v>46066.969696874999</v>
    <v>360</v>
    <v>147.97999999999999</v>
    <v>620038230000</v>
    <v>EXXON MOBIL CORPORATION</v>
    <v>EXXON MOBIL CORPORATION</v>
    <v>150.55000000000001</v>
    <v>22.3949</v>
    <v>149.93</v>
    <v>148.37</v>
    <v>148.9</v>
    <v>4179000000</v>
    <v>XOM</v>
    <v>EXXON MOBIL CORPORATION (XNYS:XOM)</v>
    <v>20166031</v>
    <v>21498578</v>
    <v>1882</v>
  </rv>
  <rv s="2">
    <v>361</v>
  </rv>
  <rv s="0">
    <v>https://www.bing.com/financeapi/forcetrigger?t=a23www&amp;q=XNYS%3aT&amp;form=skydnc</v>
    <v>Learn more on Bing</v>
  </rv>
  <rv s="10">
    <v>en-US</v>
    <v>a23www</v>
    <v>268435456</v>
    <v>1</v>
    <v>Powered by Refinitiv</v>
    <v>24</v>
    <v>AT&amp;T INC. (XNYS:T)</v>
    <v>2</v>
    <v>25</v>
    <v>Finance</v>
    <v>19</v>
    <v>29.79</v>
    <v>22.95</v>
    <v>0.35499999999999998</v>
    <v>-0.11</v>
    <v>2.4399999999999999E-3</v>
    <v>-3.8190000000000003E-3</v>
    <v>7.0000000000000007E-2</v>
    <v>USD</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133030</v>
    <v>New York Stock Exchange</v>
    <v>XNYS</v>
    <v>XNYS</v>
    <v>208 S. Akard St, DALLAS, TX, 75202 US</v>
    <v>28.84</v>
    <v>Telecommunications Services</v>
    <v>Stock</v>
    <v>46066.93299974531</v>
    <v>363</v>
    <v>28.41</v>
    <v>200846554130</v>
    <v>AT&amp;T INC.</v>
    <v>AT&amp;T INC.</v>
    <v>28.68</v>
    <v>9.4390000000000001</v>
    <v>28.8</v>
    <v>28.69</v>
    <v>28.76</v>
    <v>7000577000</v>
    <v>T</v>
    <v>AT&amp;T INC. (XNYS:T)</v>
    <v>42687511</v>
    <v>50640395</v>
    <v>1983</v>
  </rv>
  <rv s="2">
    <v>364</v>
  </rv>
  <rv s="0">
    <v>https://www.bing.com/financeapi/forcetrigger?t=a1wljc&amp;q=XNYS%3aKO&amp;form=skydnc</v>
    <v>Learn more on Bing</v>
  </rv>
  <rv s="10">
    <v>en-US</v>
    <v>a1wljc</v>
    <v>268435456</v>
    <v>1</v>
    <v>Powered by Refinitiv</v>
    <v>24</v>
    <v>THE COCA-COLA COMPANY (XNYS:KO)</v>
    <v>2</v>
    <v>25</v>
    <v>Finance</v>
    <v>26</v>
    <v>80.41</v>
    <v>65.353800000000007</v>
    <v>0.3518</v>
    <v>-0.33</v>
    <v>0</v>
    <v>-4.1770000000000002E-3</v>
    <v>0</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79.400000000000006</v>
    <v>Beverages</v>
    <v>Stock</v>
    <v>46066.967229652342</v>
    <v>366</v>
    <v>78.13</v>
    <v>338407580030</v>
    <v>THE COCA-COLA COMPANY</v>
    <v>THE COCA-COLA COMPANY</v>
    <v>78.45</v>
    <v>25.995799999999999</v>
    <v>79</v>
    <v>78.67</v>
    <v>78.680000000000007</v>
    <v>4301609000</v>
    <v>KO</v>
    <v>THE COCA-COLA COMPANY (XNYS:KO)</v>
    <v>16711872</v>
    <v>20451511</v>
    <v>1919</v>
  </rv>
  <rv s="2">
    <v>367</v>
  </rv>
  <rv s="0">
    <v>https://www.bing.com/financeapi/forcetrigger?t=a1mpqh&amp;q=XNYS%3aABBV&amp;form=skydnc</v>
    <v>Learn more on Bing</v>
  </rv>
  <rv s="10">
    <v>en-US</v>
    <v>a1mpqh</v>
    <v>268435456</v>
    <v>1</v>
    <v>Powered by Refinitiv</v>
    <v>24</v>
    <v>ABBVIE INC. (XNYS:ABBV)</v>
    <v>2</v>
    <v>25</v>
    <v>Finance</v>
    <v>26</v>
    <v>244.81</v>
    <v>164.39</v>
    <v>0.32679999999999998</v>
    <v>4.0999999999999996</v>
    <v>3.4560000000000003E-3</v>
    <v>1.8022E-2</v>
    <v>0.8</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55000</v>
    <v>New York Stock Exchange</v>
    <v>XNYS</v>
    <v>XNYS</v>
    <v>1 N Waukegan Rd, NORTH CHICAGO, IL, 60064 US</v>
    <v>234.74</v>
    <v>Pharmaceuticals</v>
    <v>Stock</v>
    <v>46066.967230635935</v>
    <v>369</v>
    <v>228</v>
    <v>409326366000</v>
    <v>ABBVIE INC.</v>
    <v>ABBVIE INC.</v>
    <v>228.42</v>
    <v>96.259200000000007</v>
    <v>227.5</v>
    <v>231.6</v>
    <v>232.3</v>
    <v>1767385000</v>
    <v>ABBV</v>
    <v>ABBVIE INC. (XNYS:ABBV)</v>
    <v>8252480</v>
    <v>7571909</v>
    <v>2012</v>
  </rv>
  <rv s="2">
    <v>370</v>
  </rv>
  <rv s="0">
    <v>https://www.bing.com/financeapi/forcetrigger?t=a25obh&amp;q=XNYS%3aVZ&amp;form=skydnc</v>
    <v>Learn more on Bing</v>
  </rv>
  <rv s="10">
    <v>en-US</v>
    <v>a25obh</v>
    <v>268435456</v>
    <v>1</v>
    <v>Powered by Refinitiv</v>
    <v>24</v>
    <v>VERIZON COMMUNICATIONS INC. (XNYS:VZ)</v>
    <v>2</v>
    <v>25</v>
    <v>Finance</v>
    <v>19</v>
    <v>50.24</v>
    <v>38.39</v>
    <v>0.29149999999999998</v>
    <v>-0.45</v>
    <v>2.04E-6</v>
    <v>-9.0980000000000002E-3</v>
    <v>1E-4</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99600</v>
    <v>New York Stock Exchange</v>
    <v>XNYS</v>
    <v>XNYS</v>
    <v>1095 Avenue Of The Americas, NEW YORK, NY, 10036 US</v>
    <v>49.43</v>
    <v>Telecommunications Services</v>
    <v>Stock</v>
    <v>46066.912749548435</v>
    <v>372</v>
    <v>48.625500000000002</v>
    <v>206675170000</v>
    <v>VERIZON COMMUNICATIONS INC.</v>
    <v>VERIZON COMMUNICATIONS INC.</v>
    <v>49.16</v>
    <v>12.182</v>
    <v>49.46</v>
    <v>49.01</v>
    <v>49.010100000000001</v>
    <v>4217000000</v>
    <v>VZ</v>
    <v>VERIZON COMMUNICATIONS INC. (XNYS:VZ)</v>
    <v>31998466</v>
    <v>38646320</v>
    <v>1983</v>
  </rv>
  <rv s="2">
    <v>373</v>
  </rv>
  <rv s="0">
    <v>https://www.bing.com/financeapi/forcetrigger?t=a1xxmw&amp;q=XNYS%3aMRK&amp;form=skydnc</v>
    <v>Learn more on Bing</v>
  </rv>
  <rv s="10">
    <v>en-US</v>
    <v>a1xxmw</v>
    <v>268435456</v>
    <v>1</v>
    <v>Powered by Refinitiv</v>
    <v>24</v>
    <v>MERCK &amp; CO., INC. (XNYS:MRK)</v>
    <v>2</v>
    <v>25</v>
    <v>Finance</v>
    <v>19</v>
    <v>123.33</v>
    <v>73.31</v>
    <v>0.2792</v>
    <v>2.17</v>
    <v>-6.3089999999999989E-4</v>
    <v>1.8199E-2</v>
    <v>-7.6600000000000001E-2</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123.33</v>
    <v>Pharmaceuticals</v>
    <v>Stock</v>
    <v>46066.912700497654</v>
    <v>375</v>
    <v>121.03</v>
    <v>301342291020</v>
    <v>MERCK &amp; CO., INC.</v>
    <v>MERCK &amp; CO., INC.</v>
    <v>121.5</v>
    <v>16.3901</v>
    <v>119.24</v>
    <v>121.41</v>
    <v>121.3334</v>
    <v>2482022000</v>
    <v>MRK</v>
    <v>MERCK &amp; CO., INC. (XNYS:MRK)</v>
    <v>10102324</v>
    <v>14039385</v>
    <v>1970</v>
  </rv>
  <rv s="2">
    <v>376</v>
  </rv>
  <rv s="0">
    <v>https://www.bing.com/financeapi/forcetrigger?t=a1wrz2&amp;q=XNAS%3aLBTYA&amp;form=skydnc</v>
    <v>Learn more on Bing</v>
  </rv>
  <rv s="10">
    <v>en-US</v>
    <v>a1wrz2</v>
    <v>268435456</v>
    <v>1</v>
    <v>Powered by Refinitiv</v>
    <v>24</v>
    <v>Liberty Global Ltd. (XNAS:LBTYA)</v>
    <v>2</v>
    <v>25</v>
    <v>Finance</v>
    <v>19</v>
    <v>12.085000000000001</v>
    <v>9.0250000000000004</v>
    <v>1.1156999999999999</v>
    <v>-0.35</v>
    <v>0</v>
    <v>-3.1139E-2</v>
    <v>0</v>
    <v>USD</v>
    <v>Liberty Global Ltd. is an international provider of broadband Internet, video, fixed-line telephony and mobile communications services to residential customers and businesses in Europe and are an active investor in the infrastructure, content and technology industries. It also provides technology solutions and finance services. The Company's segments include Liberty Telecom, Liberty Growth and Liberty Services. Liberty Telecom includes converged broadband, video and mobile communications businesses. Liberty Growth invests, grows and rotates capital into scalable businesses across the technology, media/content, sports and infrastructure industries with a portfolio of approximately 70 companies and various funds, including stakes in companies like ITV, Televisa Univision, Plume, EdgeConneX and AtlasEdge, as well as its controlling interest in the Formula E racing series. Liberty Services offers technology and finance service platforms offered by its centralized functions.</v>
    <v>6820</v>
    <v>Nasdaq Stock Market</v>
    <v>XNAS</v>
    <v>XNAS</v>
    <v>Clarendon House, 2 Church Street, HAMILTON PARISH, HM 11 BM</v>
    <v>11.35</v>
    <v>Telecommunications Services</v>
    <v>Stock</v>
    <v>46066.931525832813</v>
    <v>378</v>
    <v>10.82</v>
    <v>3667524399</v>
    <v>Liberty Global Ltd.</v>
    <v>Liberty Global Ltd.</v>
    <v>11.21</v>
    <v>0</v>
    <v>11.24</v>
    <v>10.89</v>
    <v>10.89</v>
    <v>336779100</v>
    <v>LBTYA</v>
    <v>Liberty Global Ltd. (XNAS:LBTYA)</v>
    <v>4130202</v>
    <v>2675425</v>
    <v>2022</v>
  </rv>
  <rv s="2">
    <v>379</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39">
    <spb s="0">
      <v>0</v>
      <v>Name</v>
      <v>LearnMoreOnLink</v>
    </spb>
    <spb s="1">
      <v>0</v>
      <v>0</v>
      <v>0</v>
    </spb>
    <spb s="2">
      <v>1</v>
      <v>1</v>
      <v>1</v>
      <v>1</v>
    </spb>
    <spb s="3">
      <v>1</v>
      <v>2</v>
      <v>2</v>
      <v>1</v>
      <v>3</v>
      <v>1</v>
      <v>1</v>
      <v>1</v>
      <v>4</v>
      <v>4</v>
      <v>5</v>
      <v>6</v>
      <v>1</v>
      <v>1</v>
      <v>1</v>
      <v>4</v>
      <v>7</v>
      <v>8</v>
      <v>9</v>
      <v>4</v>
    </spb>
    <spb s="4">
      <v>Delayed 15 minutes</v>
      <v>from previous close</v>
      <v>from previous close</v>
      <v>Source: Nasdaq Nordic</v>
      <v>GMT</v>
    </spb>
    <spb s="0">
      <v>1</v>
      <v>Name</v>
      <v>LearnMoreOnLink</v>
    </spb>
    <spb s="5">
      <v>0</v>
      <v>0</v>
    </spb>
    <spb s="6">
      <v>6</v>
      <v>1</v>
      <v>1</v>
      <v>1</v>
      <v>1</v>
    </spb>
    <spb s="7">
      <v>10</v>
      <v>2</v>
      <v>2</v>
      <v>10</v>
      <v>3</v>
      <v>10</v>
      <v>11</v>
      <v>10</v>
      <v>10</v>
      <v>4</v>
      <v>4</v>
      <v>5</v>
      <v>12</v>
      <v>10</v>
      <v>10</v>
      <v>10</v>
      <v>4</v>
      <v>7</v>
      <v>8</v>
      <v>9</v>
      <v>4</v>
    </spb>
    <spb s="8">
      <v>Powered by Refinitiv</v>
    </spb>
    <spb s="0">
      <v>2</v>
      <v>Name</v>
      <v>LearnMoreOnLink</v>
    </spb>
    <spb s="9">
      <v>1</v>
      <v>2</v>
      <v>2</v>
      <v>1</v>
      <v>3</v>
      <v>1</v>
      <v>1</v>
      <v>1</v>
      <v>4</v>
      <v>4</v>
      <v>5</v>
      <v>6</v>
      <v>1</v>
      <v>4</v>
      <v>7</v>
      <v>8</v>
      <v>9</v>
      <v>4</v>
    </spb>
    <spb s="0">
      <v>3</v>
      <v>Name</v>
      <v>LearnMoreOnLink</v>
    </spb>
    <spb s="10">
      <v>1</v>
      <v>2</v>
      <v>2</v>
      <v>1</v>
      <v>3</v>
      <v>1</v>
      <v>1</v>
      <v>1</v>
      <v>4</v>
      <v>4</v>
      <v>5</v>
      <v>6</v>
      <v>1</v>
      <v>4</v>
      <v>7</v>
      <v>9</v>
      <v>4</v>
    </spb>
    <spb s="3">
      <v>13</v>
      <v>2</v>
      <v>2</v>
      <v>13</v>
      <v>3</v>
      <v>13</v>
      <v>13</v>
      <v>13</v>
      <v>4</v>
      <v>4</v>
      <v>5</v>
      <v>12</v>
      <v>13</v>
      <v>13</v>
      <v>13</v>
      <v>4</v>
      <v>7</v>
      <v>8</v>
      <v>9</v>
      <v>4</v>
    </spb>
    <spb s="11">
      <v>Delayed 15 minutes</v>
      <v>from previous close</v>
      <v>from previous close</v>
      <v>GMT</v>
    </spb>
    <spb s="9">
      <v>13</v>
      <v>2</v>
      <v>2</v>
      <v>13</v>
      <v>3</v>
      <v>13</v>
      <v>13</v>
      <v>13</v>
      <v>4</v>
      <v>4</v>
      <v>5</v>
      <v>12</v>
      <v>13</v>
      <v>4</v>
      <v>14</v>
      <v>8</v>
      <v>9</v>
      <v>4</v>
    </spb>
    <spb s="0">
      <v>4</v>
      <v>Name</v>
      <v>LearnMoreOnLink</v>
    </spb>
    <spb s="12">
      <v>15</v>
      <v>2</v>
      <v>15</v>
      <v>3</v>
      <v>15</v>
      <v>15</v>
      <v>15</v>
      <v>4</v>
      <v>4</v>
      <v>5</v>
      <v>16</v>
      <v>15</v>
      <v>15</v>
      <v>15</v>
      <v>4</v>
      <v>7</v>
      <v>8</v>
      <v>9</v>
      <v>4</v>
      <v>15</v>
      <v>15</v>
      <v>5</v>
    </spb>
    <spb s="13">
      <v>at close</v>
      <v>from previous close</v>
      <v>from previous close</v>
      <v>Source: Nasdaq</v>
      <v>GMT</v>
      <v>Delayed 15 minutes</v>
      <v>from close</v>
      <v>from close</v>
    </spb>
    <spb s="3">
      <v>13</v>
      <v>2</v>
      <v>2</v>
      <v>13</v>
      <v>3</v>
      <v>13</v>
      <v>13</v>
      <v>13</v>
      <v>4</v>
      <v>4</v>
      <v>5</v>
      <v>17</v>
      <v>13</v>
      <v>13</v>
      <v>13</v>
      <v>4</v>
      <v>7</v>
      <v>8</v>
      <v>9</v>
      <v>4</v>
    </spb>
    <spb s="0">
      <v>5</v>
      <v>Name</v>
      <v>LearnMoreOnLink</v>
    </spb>
    <spb s="14">
      <v>13</v>
      <v>2</v>
      <v>2</v>
      <v>13</v>
      <v>3</v>
      <v>13</v>
      <v>13</v>
      <v>13</v>
      <v>4</v>
      <v>4</v>
      <v>5</v>
      <v>12</v>
      <v>13</v>
      <v>13</v>
      <v>13</v>
      <v>4</v>
      <v>7</v>
      <v>9</v>
      <v>4</v>
    </spb>
    <spb s="4">
      <v>Delayed 15 minutes</v>
      <v>from previous close</v>
      <v>from previous close</v>
      <v>Borsa Italia</v>
      <v>GMT</v>
    </spb>
    <spb s="0">
      <v>6</v>
      <v>Name</v>
      <v>LearnMoreOnLink</v>
    </spb>
    <spb s="15">
      <v>15</v>
      <v>2</v>
      <v>2</v>
      <v>15</v>
      <v>3</v>
      <v>15</v>
      <v>15</v>
      <v>15</v>
      <v>4</v>
      <v>4</v>
      <v>5</v>
      <v>16</v>
      <v>15</v>
      <v>15</v>
      <v>15</v>
      <v>4</v>
      <v>7</v>
      <v>8</v>
      <v>9</v>
      <v>4</v>
      <v>15</v>
      <v>15</v>
      <v>5</v>
    </spb>
    <spb s="13">
      <v>at close</v>
      <v>from previous close</v>
      <v>from previous close</v>
      <v>Source: Nasdaq Last Sale</v>
      <v>GMT</v>
      <v>Real-Time Nasdaq Last Sale</v>
      <v>from close</v>
      <v>from close</v>
    </spb>
    <spb s="16">
      <v>7</v>
      <v>Name</v>
    </spb>
    <spb s="17">
      <v>1</v>
      <v>1</v>
      <v>1</v>
    </spb>
    <spb s="18">
      <v>18</v>
      <v>2</v>
      <v>18</v>
      <v>3</v>
      <v>18</v>
      <v>18</v>
      <v>18</v>
      <v>4</v>
      <v>4</v>
      <v>5</v>
      <v>19</v>
      <v>18</v>
      <v>18</v>
      <v>18</v>
      <v>4</v>
      <v>7</v>
      <v>8</v>
      <v>9</v>
      <v>4</v>
    </spb>
    <spb s="19">
      <v>from previous close</v>
      <v>from previous close</v>
      <v>GMT</v>
    </spb>
    <spb s="9">
      <v>13</v>
      <v>2</v>
      <v>2</v>
      <v>13</v>
      <v>3</v>
      <v>13</v>
      <v>13</v>
      <v>13</v>
      <v>4</v>
      <v>4</v>
      <v>5</v>
      <v>12</v>
      <v>13</v>
      <v>4</v>
      <v>7</v>
      <v>8</v>
      <v>9</v>
      <v>4</v>
    </spb>
    <spb s="16">
      <v>8</v>
      <v>Name</v>
    </spb>
    <spb s="20">
      <v>13</v>
      <v>2</v>
      <v>13</v>
      <v>3</v>
      <v>13</v>
      <v>13</v>
      <v>13</v>
      <v>4</v>
      <v>4</v>
      <v>5</v>
      <v>12</v>
      <v>13</v>
      <v>4</v>
      <v>7</v>
      <v>8</v>
      <v>9</v>
      <v>4</v>
    </spb>
    <spb s="10">
      <v>13</v>
      <v>2</v>
      <v>2</v>
      <v>13</v>
      <v>3</v>
      <v>13</v>
      <v>13</v>
      <v>13</v>
      <v>4</v>
      <v>4</v>
      <v>5</v>
      <v>12</v>
      <v>13</v>
      <v>4</v>
      <v>14</v>
      <v>9</v>
      <v>4</v>
    </spb>
    <spb s="16">
      <v>9</v>
      <v>Name</v>
    </spb>
    <spb s="9">
      <v>13</v>
      <v>2</v>
      <v>2</v>
      <v>13</v>
      <v>3</v>
      <v>13</v>
      <v>13</v>
      <v>13</v>
      <v>4</v>
      <v>4</v>
      <v>5</v>
      <v>16</v>
      <v>13</v>
      <v>4</v>
      <v>14</v>
      <v>8</v>
      <v>9</v>
      <v>4</v>
    </spb>
    <spb s="0">
      <v>10</v>
      <v>Name</v>
      <v>LearnMoreOnLink</v>
    </spb>
    <spb s="21">
      <v>15</v>
      <v>2</v>
      <v>2</v>
      <v>15</v>
      <v>3</v>
      <v>15</v>
      <v>11</v>
      <v>15</v>
      <v>15</v>
      <v>4</v>
      <v>4</v>
      <v>5</v>
      <v>16</v>
      <v>15</v>
      <v>15</v>
      <v>15</v>
      <v>4</v>
      <v>7</v>
      <v>8</v>
      <v>9</v>
      <v>4</v>
      <v>15</v>
      <v>15</v>
      <v>5</v>
    </spb>
  </spbData>
</supportingPropertyBags>
</file>

<file path=xl/richData/rdsupportingpropertybagstructure.xml><?xml version="1.0" encoding="utf-8"?>
<spbStructures xmlns="http://schemas.microsoft.com/office/spreadsheetml/2017/richdata2" count="2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Previous close" t="i"/>
    <k n="Volume average" t="i"/>
    <k n="Last trade time" t="i"/>
    <k n="`%EntityServiceId" t="i"/>
    <k n="Shares outstanding" t="i"/>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hange" t="s"/>
    <k n="Change (%)" t="s"/>
    <k n="Last trade time" t="s"/>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dd/mm/yyyy\ hh:mm"/>
    </x:dxf>
    <x:dxf>
      <x:numFmt numFmtId="1" formatCode="0"/>
    </x:dxf>
    <x:dxf>
      <x:numFmt numFmtId="2" formatCode="0.00"/>
    </x:dxf>
    <x:dxf>
      <x:numFmt numFmtId="19" formatCode="dd/mm/yyyy"/>
    </x:dxf>
  </dxfs>
  <richProperties>
    <rPr n="NumberFormat" t="s"/>
    <rPr n="IsTitleField" t="b"/>
    <rPr n="IsHeroField" t="b"/>
  </richProperties>
  <richStyles>
    <rSty dxfid="0">
      <rpv i="0">_-* #,##0.00 [$kr.-da-DK]_-;-* #,##0.00 [$kr.-da-DK]_-;_-* "-"?? [$kr.-da-DK]_-;_-@_-</rpv>
    </rSty>
    <rSty dxfid="1">
      <rpv i="0">#,##0.00</rpv>
    </rSty>
    <rSty>
      <rpv i="1">1</rpv>
    </rSty>
    <rSty dxfid="2">
      <rpv i="0">#,##0</rpv>
    </rSty>
    <rSty dxfid="3"/>
    <rSty dxfid="0">
      <rpv i="0">_-* #,##0 [$kr.-da-DK]_-;-* #,##0 [$kr.-da-DK]_-;_-* "-" [$kr.-da-DK]_-;_-@_-</rpv>
    </rSty>
    <rSty dxfid="4"/>
    <rSty dxfid="5">
      <rpv i="0">0</rpv>
    </rSty>
    <rSty dxfid="6">
      <rpv i="0">0.00</rpv>
    </rSty>
    <rSty dxfid="0">
      <rpv i="0">_-* #,##0.00 [$kr-smj-SE]_-;-* #,##0.00 [$kr-smj-SE]_-;_-* "-"?? [$kr-smj-SE]_-;_-@_-</rpv>
    </rSty>
    <rSty>
      <rpv i="2">1</rpv>
    </rSty>
    <rSty dxfid="0">
      <rpv i="0">_([$€-x-euro2] * #,##0_);_([$€-x-euro2] * (#,##0);_([$€-x-euro2] * "-"_);_(@_)</rpv>
    </rSty>
    <rSty dxfid="0">
      <rpv i="0">_([$€-x-euro2] * #,##0.00_);_([$€-x-euro2] * (#,##0.00);_([$€-x-euro2] * "-"??_);_(@_)</rpv>
    </rSty>
    <rSty dxfid="7"/>
    <rSty dxfid="0">
      <rpv i="0">_([$$-en-US]* #,##0.00_);_([$$-en-US]* (#,##0.00);_([$$-en-US]* "-"??_);_(@_)</rpv>
    </rSty>
    <rSty dxfid="0">
      <rpv i="0">_([$$-en-US]* #,##0_);_([$$-en-US]* (#,##0);_([$$-en-US]* "-"_);_(@_)</rpv>
    </rSty>
    <rSty dxfid="0">
      <rpv i="0">_-[$¥-ja-JP]* #,##0_-;-[$¥-ja-JP]* #,##0_-;_-[$¥-ja-JP]* "-"_-;_-@_-</rpv>
    </rSty>
    <rSty dxfid="0">
      <rpv i="0">_-[$$-en-CA]* #,##0.00_-;-[$$-en-CA]* #,##0.00_-;_-[$$-en-CA]* "-"??_-;_-@_-</rpv>
    </rSty>
    <rSty dxfid="0">
      <rpv i="0">_-[$$-en-CA]* #,##0_-;-[$$-en-CA]* #,##0_-;_-[$$-en-CA]* "-"_-;_-@_-</rpv>
    </rSty>
  </richStyles>
</richStyleShee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hefairvaluejournal.com/eps-growth-projectio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DDAD-D62A-4CE1-B179-D838E7BB5A1E}">
  <dimension ref="D6:L40"/>
  <sheetViews>
    <sheetView showGridLines="0" workbookViewId="0">
      <selection activeCell="G17" sqref="G17"/>
    </sheetView>
  </sheetViews>
  <sheetFormatPr defaultRowHeight="14.4" x14ac:dyDescent="0.3"/>
  <cols>
    <col min="4" max="4" width="29.5546875" bestFit="1" customWidth="1"/>
    <col min="6" max="6" width="16.6640625" customWidth="1"/>
    <col min="7" max="9" width="21.109375" bestFit="1" customWidth="1"/>
    <col min="10" max="10" width="8.88671875" customWidth="1"/>
  </cols>
  <sheetData>
    <row r="6" spans="4:12" x14ac:dyDescent="0.3">
      <c r="D6" s="96"/>
      <c r="E6" s="96"/>
      <c r="F6" s="96"/>
      <c r="G6" s="96"/>
      <c r="H6" s="96"/>
      <c r="I6" s="96"/>
      <c r="J6" s="96"/>
      <c r="K6" s="96"/>
      <c r="L6" s="96"/>
    </row>
    <row r="7" spans="4:12" ht="15" thickBot="1" x14ac:dyDescent="0.35">
      <c r="D7" s="96"/>
      <c r="E7" s="96"/>
      <c r="F7" s="96"/>
      <c r="G7" s="96"/>
      <c r="H7" s="101"/>
      <c r="I7" s="99"/>
      <c r="J7" s="99"/>
      <c r="K7" s="96"/>
      <c r="L7" s="96"/>
    </row>
    <row r="8" spans="4:12" ht="15" thickBot="1" x14ac:dyDescent="0.35">
      <c r="D8" s="96"/>
      <c r="E8" s="96"/>
      <c r="F8" s="110" t="s">
        <v>260</v>
      </c>
      <c r="G8" s="108" t="s">
        <v>90</v>
      </c>
      <c r="H8" s="108" t="s">
        <v>101</v>
      </c>
      <c r="I8" s="109" t="s">
        <v>102</v>
      </c>
      <c r="J8" s="113" t="s">
        <v>259</v>
      </c>
      <c r="K8" s="96"/>
      <c r="L8" s="96"/>
    </row>
    <row r="9" spans="4:12" x14ac:dyDescent="0.3">
      <c r="D9" s="96"/>
      <c r="E9" s="96"/>
      <c r="F9" s="111" t="str">
        <f>'Ranglisten DK'!D1</f>
        <v>Q1 2026</v>
      </c>
      <c r="G9" s="100">
        <f>AVERAGE('Ranglisten DK'!D17:D27)</f>
        <v>3.1240363636363639</v>
      </c>
      <c r="H9" s="100">
        <f>AVERAGE('Ranglisten EU'!D17:D27)</f>
        <v>3.1669818181818177</v>
      </c>
      <c r="I9" s="102">
        <f>AVERAGE('Ranglisten USA'!D17:D27)</f>
        <v>3.1922272727272722</v>
      </c>
      <c r="J9" s="104">
        <f>AVERAGE(G9:I9)</f>
        <v>3.1610818181818181</v>
      </c>
      <c r="K9" s="96"/>
      <c r="L9" s="96"/>
    </row>
    <row r="10" spans="4:12" ht="15" thickBot="1" x14ac:dyDescent="0.35">
      <c r="D10" s="96"/>
      <c r="E10" s="96"/>
      <c r="F10" s="112" t="str">
        <f>'Ranglisten DK'!E1</f>
        <v>Q2 2026</v>
      </c>
      <c r="G10" s="106">
        <f>AVERAGE('Ranglisten DK'!D31:D41)</f>
        <v>3.2503181818181814</v>
      </c>
      <c r="H10" s="106">
        <f>AVERAGE('Ranglisten EU'!D31:D41)</f>
        <v>3.0710090909090906</v>
      </c>
      <c r="I10" s="107">
        <f>AVERAGE('Ranglisten USA'!D33:D43)</f>
        <v>3.0583727272727272</v>
      </c>
      <c r="J10" s="105">
        <f>AVERAGE(G10:I10)</f>
        <v>3.1265666666666667</v>
      </c>
      <c r="K10" s="96"/>
      <c r="L10" s="96"/>
    </row>
    <row r="11" spans="4:12" ht="15" thickBot="1" x14ac:dyDescent="0.35">
      <c r="D11" s="96"/>
      <c r="E11" s="96"/>
      <c r="F11" s="110" t="s">
        <v>260</v>
      </c>
      <c r="G11" s="115">
        <f>AVERAGE(G9:G10)</f>
        <v>3.1871772727272729</v>
      </c>
      <c r="H11" s="115">
        <f>AVERAGE(H9:H10)</f>
        <v>3.1189954545454541</v>
      </c>
      <c r="I11" s="115">
        <f>AVERAGE(I9:I10)</f>
        <v>3.1252999999999997</v>
      </c>
      <c r="J11" s="114">
        <f>AVERAGE(G11:I11)</f>
        <v>3.1438242424242424</v>
      </c>
      <c r="K11" s="96"/>
      <c r="L11" s="96"/>
    </row>
    <row r="12" spans="4:12" ht="15" thickBot="1" x14ac:dyDescent="0.35">
      <c r="D12" s="96"/>
      <c r="E12" s="96"/>
      <c r="F12" s="97"/>
      <c r="G12" s="100"/>
      <c r="H12" s="100"/>
      <c r="I12" s="100"/>
      <c r="J12" s="100"/>
      <c r="K12" s="96"/>
      <c r="L12" s="96"/>
    </row>
    <row r="13" spans="4:12" ht="15" thickBot="1" x14ac:dyDescent="0.35">
      <c r="D13" s="96"/>
      <c r="E13" s="96"/>
      <c r="F13" s="110" t="s">
        <v>265</v>
      </c>
      <c r="G13" s="117" t="str">
        <f>G8</f>
        <v>Danmark</v>
      </c>
      <c r="H13" s="117" t="str">
        <f t="shared" ref="H13:J13" si="0">H8</f>
        <v>Europa</v>
      </c>
      <c r="I13" s="117" t="str">
        <f t="shared" si="0"/>
        <v>USA</v>
      </c>
      <c r="J13" s="118" t="str">
        <f t="shared" si="0"/>
        <v>Total</v>
      </c>
      <c r="K13" s="96"/>
      <c r="L13" s="96"/>
    </row>
    <row r="14" spans="4:12" x14ac:dyDescent="0.3">
      <c r="D14" s="96"/>
      <c r="E14" s="96"/>
      <c r="F14" s="111" t="str">
        <f>F9</f>
        <v>Q1 2026</v>
      </c>
      <c r="G14" s="119" t="str">
        <f>'Ranglisten DK'!C17</f>
        <v>Information Technology</v>
      </c>
      <c r="H14" s="120" t="str">
        <f>'Ranglisten EU'!C17</f>
        <v>Information Technology</v>
      </c>
      <c r="I14" s="120" t="str">
        <f>'Ranglisten USA'!C17</f>
        <v>Energy</v>
      </c>
      <c r="J14" s="121"/>
      <c r="K14" s="96"/>
      <c r="L14" s="96"/>
    </row>
    <row r="15" spans="4:12" ht="15" thickBot="1" x14ac:dyDescent="0.35">
      <c r="D15" s="96"/>
      <c r="E15" s="96"/>
      <c r="F15" s="112" t="str">
        <f>F10</f>
        <v>Q2 2026</v>
      </c>
      <c r="G15" s="122" t="str">
        <f>'Ranglisten DK'!C31</f>
        <v>Industrials</v>
      </c>
      <c r="H15" s="123" t="str">
        <f>'Ranglisten EU'!C31</f>
        <v>Information Technology</v>
      </c>
      <c r="I15" s="123" t="str">
        <f>'Ranglisten USA'!C33</f>
        <v>Information Technology</v>
      </c>
      <c r="J15" s="98"/>
      <c r="K15" s="96"/>
      <c r="L15" s="96"/>
    </row>
    <row r="16" spans="4:12" x14ac:dyDescent="0.3">
      <c r="D16" s="96"/>
      <c r="E16" s="96"/>
      <c r="F16" s="96"/>
      <c r="G16" s="96"/>
      <c r="H16" s="96"/>
      <c r="I16" s="96"/>
      <c r="J16" s="96"/>
      <c r="K16" s="96"/>
      <c r="L16" s="96"/>
    </row>
    <row r="17" spans="4:12" x14ac:dyDescent="0.3">
      <c r="D17" s="96"/>
      <c r="E17" s="96"/>
      <c r="F17" s="96"/>
      <c r="G17" s="96"/>
      <c r="H17" s="103"/>
      <c r="I17" s="103"/>
      <c r="J17" s="103"/>
      <c r="K17" s="96"/>
      <c r="L17" s="96"/>
    </row>
    <row r="18" spans="4:12" x14ac:dyDescent="0.3">
      <c r="D18" s="96"/>
      <c r="E18" s="96"/>
      <c r="F18" s="96"/>
      <c r="G18" s="96"/>
      <c r="H18" s="101"/>
      <c r="I18" s="99"/>
      <c r="J18" s="99"/>
      <c r="K18" s="96"/>
      <c r="L18" s="96"/>
    </row>
    <row r="19" spans="4:12" x14ac:dyDescent="0.3">
      <c r="D19" s="97" t="s">
        <v>263</v>
      </c>
      <c r="E19" s="97"/>
      <c r="F19" s="96"/>
      <c r="G19" s="96"/>
      <c r="H19" s="101"/>
      <c r="I19" s="99"/>
      <c r="J19" s="99"/>
      <c r="K19" s="96"/>
      <c r="L19" s="96"/>
    </row>
    <row r="20" spans="4:12" x14ac:dyDescent="0.3">
      <c r="D20" s="116" t="s">
        <v>262</v>
      </c>
      <c r="E20" s="96"/>
      <c r="F20" s="96"/>
      <c r="G20" s="96"/>
      <c r="H20" s="96"/>
      <c r="I20" s="96"/>
      <c r="J20" s="96"/>
      <c r="K20" s="96"/>
      <c r="L20" s="96"/>
    </row>
    <row r="21" spans="4:12" x14ac:dyDescent="0.3">
      <c r="D21" s="96"/>
      <c r="E21" s="96"/>
      <c r="F21" s="96"/>
      <c r="G21" s="96"/>
      <c r="H21" s="96"/>
      <c r="I21" s="96"/>
      <c r="J21" s="96"/>
      <c r="K21" s="96"/>
      <c r="L21" s="96"/>
    </row>
    <row r="22" spans="4:12" x14ac:dyDescent="0.3">
      <c r="D22" s="97" t="s">
        <v>264</v>
      </c>
      <c r="E22" s="96"/>
      <c r="F22" s="96"/>
      <c r="G22" s="96"/>
      <c r="H22" s="96"/>
      <c r="I22" s="96"/>
      <c r="J22" s="96"/>
      <c r="K22" s="96"/>
      <c r="L22" s="96"/>
    </row>
    <row r="23" spans="4:12" x14ac:dyDescent="0.3">
      <c r="D23" s="96"/>
      <c r="E23" s="96"/>
      <c r="F23" s="96"/>
      <c r="G23" s="96"/>
      <c r="H23" s="96"/>
      <c r="I23" s="96"/>
      <c r="J23" s="96"/>
      <c r="K23" s="96"/>
      <c r="L23" s="96"/>
    </row>
    <row r="24" spans="4:12" x14ac:dyDescent="0.3">
      <c r="D24" s="96"/>
      <c r="E24" s="96"/>
      <c r="F24" s="96"/>
      <c r="G24" s="96"/>
      <c r="H24" s="96"/>
      <c r="I24" s="96"/>
      <c r="J24" s="96"/>
      <c r="K24" s="96"/>
      <c r="L24" s="96"/>
    </row>
    <row r="25" spans="4:12" x14ac:dyDescent="0.3">
      <c r="D25" s="96" t="s">
        <v>266</v>
      </c>
      <c r="E25" s="96"/>
      <c r="F25" s="96"/>
      <c r="G25" s="96"/>
      <c r="H25" s="96"/>
      <c r="I25" s="96"/>
      <c r="J25" s="96"/>
      <c r="K25" s="96"/>
      <c r="L25" s="96"/>
    </row>
    <row r="26" spans="4:12" x14ac:dyDescent="0.3">
      <c r="D26" s="96" t="s">
        <v>267</v>
      </c>
      <c r="E26" s="96"/>
      <c r="F26" s="96"/>
      <c r="G26" s="96"/>
      <c r="H26" s="96"/>
      <c r="I26" s="96"/>
      <c r="J26" s="96"/>
      <c r="K26" s="96"/>
      <c r="L26" s="96"/>
    </row>
    <row r="27" spans="4:12" x14ac:dyDescent="0.3">
      <c r="D27" s="96" t="s">
        <v>268</v>
      </c>
      <c r="E27" s="96"/>
      <c r="F27" s="96"/>
      <c r="G27" s="96"/>
      <c r="H27" s="96"/>
      <c r="I27" s="96"/>
      <c r="J27" s="96"/>
      <c r="K27" s="96"/>
      <c r="L27" s="96"/>
    </row>
    <row r="28" spans="4:12" x14ac:dyDescent="0.3">
      <c r="D28" t="s">
        <v>269</v>
      </c>
    </row>
    <row r="29" spans="4:12" x14ac:dyDescent="0.3">
      <c r="D29" t="s">
        <v>270</v>
      </c>
    </row>
    <row r="30" spans="4:12" x14ac:dyDescent="0.3">
      <c r="D30" t="s">
        <v>271</v>
      </c>
    </row>
    <row r="31" spans="4:12" x14ac:dyDescent="0.3">
      <c r="D31" t="s">
        <v>272</v>
      </c>
    </row>
    <row r="32" spans="4:12" x14ac:dyDescent="0.3">
      <c r="D32" t="s">
        <v>273</v>
      </c>
    </row>
    <row r="33" spans="4:4" x14ac:dyDescent="0.3">
      <c r="D33" t="s">
        <v>274</v>
      </c>
    </row>
    <row r="34" spans="4:4" x14ac:dyDescent="0.3">
      <c r="D34" t="s">
        <v>275</v>
      </c>
    </row>
    <row r="35" spans="4:4" x14ac:dyDescent="0.3">
      <c r="D35" t="s">
        <v>276</v>
      </c>
    </row>
    <row r="36" spans="4:4" x14ac:dyDescent="0.3">
      <c r="D36" t="s">
        <v>277</v>
      </c>
    </row>
    <row r="37" spans="4:4" x14ac:dyDescent="0.3">
      <c r="D37" t="s">
        <v>278</v>
      </c>
    </row>
    <row r="38" spans="4:4" x14ac:dyDescent="0.3">
      <c r="D38" t="s">
        <v>279</v>
      </c>
    </row>
    <row r="39" spans="4:4" ht="15.6" x14ac:dyDescent="0.3">
      <c r="D39" s="124" t="s">
        <v>280</v>
      </c>
    </row>
    <row r="40" spans="4:4" x14ac:dyDescent="0.3">
      <c r="D40" t="s">
        <v>281</v>
      </c>
    </row>
  </sheetData>
  <hyperlinks>
    <hyperlink ref="D20" r:id="rId1" display="https://thefairvaluejournal.com/eps-growth-projection/" xr:uid="{66DE8CA9-FEE0-4754-BAB6-F78A9AD00B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1:F41"/>
  <sheetViews>
    <sheetView showGridLines="0" topLeftCell="A15" zoomScaleNormal="100" workbookViewId="0">
      <selection activeCell="D33" sqref="D33"/>
    </sheetView>
  </sheetViews>
  <sheetFormatPr defaultRowHeight="14.4" x14ac:dyDescent="0.3"/>
  <cols>
    <col min="1" max="1" width="2.44140625" customWidth="1"/>
    <col min="2" max="2" width="5.6640625" bestFit="1" customWidth="1"/>
    <col min="3" max="4" width="25" customWidth="1"/>
    <col min="5" max="5" width="32.6640625" bestFit="1" customWidth="1"/>
    <col min="6" max="6" width="56.6640625" bestFit="1" customWidth="1"/>
  </cols>
  <sheetData>
    <row r="1" spans="2:6" x14ac:dyDescent="0.3">
      <c r="C1" s="79" t="s">
        <v>7</v>
      </c>
      <c r="D1" s="79" t="str">
        <f>'Makro analyse'!K29</f>
        <v>Q1 2026</v>
      </c>
      <c r="E1" s="79" t="str">
        <f>'Makro analyse'!T29</f>
        <v>Q2 2026</v>
      </c>
      <c r="F1" s="82"/>
    </row>
    <row r="2" spans="2:6" x14ac:dyDescent="0.3">
      <c r="C2" t="s">
        <v>9</v>
      </c>
      <c r="D2" s="94">
        <f>'Makro analyse'!K31</f>
        <v>3.5836000000000001</v>
      </c>
      <c r="E2" s="94">
        <f>'Makro analyse'!T31</f>
        <v>3.6947999999999999</v>
      </c>
      <c r="F2" s="33"/>
    </row>
    <row r="3" spans="2:6" x14ac:dyDescent="0.3">
      <c r="C3" t="s">
        <v>10</v>
      </c>
      <c r="D3" s="94">
        <f>'Makro analyse'!K32</f>
        <v>2.3891</v>
      </c>
      <c r="E3" s="94">
        <f>'Makro analyse'!T32</f>
        <v>3.3614000000000002</v>
      </c>
      <c r="F3" s="33"/>
    </row>
    <row r="4" spans="2:6" x14ac:dyDescent="0.3">
      <c r="C4" t="s">
        <v>11</v>
      </c>
      <c r="D4" s="94">
        <f>'Makro analyse'!K33</f>
        <v>3.6947000000000001</v>
      </c>
      <c r="E4" s="94">
        <f>'Makro analyse'!T33</f>
        <v>3.3335999999999997</v>
      </c>
      <c r="F4" s="33"/>
    </row>
    <row r="5" spans="2:6" x14ac:dyDescent="0.3">
      <c r="C5" t="s">
        <v>12</v>
      </c>
      <c r="D5" s="94">
        <f>'Makro analyse'!K34</f>
        <v>4.4725999999999999</v>
      </c>
      <c r="E5" s="94">
        <f>'Makro analyse'!T34</f>
        <v>3.8336999999999999</v>
      </c>
      <c r="F5" s="33"/>
    </row>
    <row r="6" spans="2:6" x14ac:dyDescent="0.3">
      <c r="C6" t="s">
        <v>13</v>
      </c>
      <c r="D6" s="94">
        <f>'Makro analyse'!K35</f>
        <v>3.6947000000000001</v>
      </c>
      <c r="E6" s="94">
        <f>'Makro analyse'!T35</f>
        <v>3.9447999999999999</v>
      </c>
      <c r="F6" s="33"/>
    </row>
    <row r="7" spans="2:6" x14ac:dyDescent="0.3">
      <c r="C7" t="s">
        <v>14</v>
      </c>
      <c r="D7" s="94">
        <f>'Makro analyse'!K36</f>
        <v>2.278</v>
      </c>
      <c r="E7" s="94">
        <f>'Makro analyse'!T36</f>
        <v>3.1114000000000002</v>
      </c>
      <c r="F7" s="33"/>
    </row>
    <row r="8" spans="2:6" x14ac:dyDescent="0.3">
      <c r="C8" t="s">
        <v>15</v>
      </c>
      <c r="D8" s="94">
        <f>'Makro analyse'!K37</f>
        <v>2.4169999999999998</v>
      </c>
      <c r="E8" s="94">
        <f>'Makro analyse'!T37</f>
        <v>2.3058000000000001</v>
      </c>
      <c r="F8" s="33"/>
    </row>
    <row r="9" spans="2:6" x14ac:dyDescent="0.3">
      <c r="C9" t="s">
        <v>16</v>
      </c>
      <c r="D9" s="94">
        <f>'Makro analyse'!K38</f>
        <v>2.8891999999999998</v>
      </c>
      <c r="E9" s="94">
        <f>'Makro analyse'!T38</f>
        <v>2.7502999999999997</v>
      </c>
      <c r="F9" s="33"/>
    </row>
    <row r="10" spans="2:6" x14ac:dyDescent="0.3">
      <c r="C10" t="s">
        <v>17</v>
      </c>
      <c r="D10" s="94">
        <f>'Makro analyse'!K39</f>
        <v>3.0004</v>
      </c>
      <c r="E10" s="94">
        <f>'Makro analyse'!T39</f>
        <v>3.3614999999999999</v>
      </c>
      <c r="F10" s="33"/>
    </row>
    <row r="11" spans="2:6" x14ac:dyDescent="0.3">
      <c r="C11" t="s">
        <v>18</v>
      </c>
      <c r="D11" s="94">
        <f>'Makro analyse'!K40</f>
        <v>3.8336999999999999</v>
      </c>
      <c r="E11" s="94">
        <f>'Makro analyse'!T40</f>
        <v>3.4447999999999999</v>
      </c>
      <c r="F11" s="33"/>
    </row>
    <row r="12" spans="2:6" x14ac:dyDescent="0.3">
      <c r="C12" t="s">
        <v>19</v>
      </c>
      <c r="D12" s="94">
        <f>'Makro analyse'!K41</f>
        <v>2.1114000000000002</v>
      </c>
      <c r="E12" s="94">
        <f>'Makro analyse'!T41</f>
        <v>2.6114000000000002</v>
      </c>
      <c r="F12" s="33"/>
    </row>
    <row r="15" spans="2:6" ht="15" customHeight="1" thickBot="1" x14ac:dyDescent="0.35">
      <c r="B15" s="125" t="str">
        <f>D1</f>
        <v>Q1 2026</v>
      </c>
      <c r="C15" s="125"/>
      <c r="D15" s="125"/>
      <c r="E15" s="125"/>
      <c r="F15" s="126"/>
    </row>
    <row r="16" spans="2:6" x14ac:dyDescent="0.3">
      <c r="B16" s="29" t="s">
        <v>20</v>
      </c>
      <c r="C16" s="80" t="s">
        <v>7</v>
      </c>
      <c r="D16" s="80" t="s">
        <v>4</v>
      </c>
      <c r="E16" s="80" t="s">
        <v>5</v>
      </c>
      <c r="F16" s="80" t="s">
        <v>6</v>
      </c>
    </row>
    <row r="17" spans="2:6" x14ac:dyDescent="0.3">
      <c r="B17">
        <v>1</v>
      </c>
      <c r="C17" s="39" t="str">
        <f t="shared" ref="C17:C27" si="0">_xlfn.XLOOKUP(D17,$D$2:$D$12,$C$2:$C$12)</f>
        <v>Information Technology</v>
      </c>
      <c r="D17" s="81">
        <f>LARGE($D$2:$D$12,1)</f>
        <v>4.4725999999999999</v>
      </c>
      <c r="E17" s="39" t="str">
        <f>_xlfn.XLOOKUP(C17,'ETF - Liste'!E:E,'ETF - Liste'!B:B)</f>
        <v>Invesco Nasdaq-100 UCITS</v>
      </c>
      <c r="F17" s="39" t="str">
        <f t="array" aca="1" ref="F17" ca="1">_xlfn.TEXTJOIN(", ",TRUE,IF(C17='Aktieliste DK'!F:F,'Aktieliste DK'!H:H,""))</f>
        <v/>
      </c>
    </row>
    <row r="18" spans="2:6" x14ac:dyDescent="0.3">
      <c r="B18">
        <v>2</v>
      </c>
      <c r="C18" s="39" t="str">
        <f t="shared" si="0"/>
        <v>Communications Services</v>
      </c>
      <c r="D18" s="81">
        <f>LARGE($D$2:$D$12,2)</f>
        <v>3.8336999999999999</v>
      </c>
      <c r="E18" s="39" t="str">
        <f>_xlfn.XLOOKUP(C18,'ETF - Liste'!E:E,'ETF - Liste'!B:B)</f>
        <v>Lyxor STOXX Europe Comm. Services</v>
      </c>
      <c r="F18" s="39" t="str">
        <f t="array" aca="1" ref="F18" ca="1">_xlfn.TEXTJOIN(", ",TRUE,IF(C18='Aktieliste DK'!F:F,'Aktieliste DK'!H:H,""))</f>
        <v/>
      </c>
    </row>
    <row r="19" spans="2:6" x14ac:dyDescent="0.3">
      <c r="B19">
        <v>3</v>
      </c>
      <c r="C19" s="39" t="str">
        <f t="shared" si="0"/>
        <v>Consumer Discretionary</v>
      </c>
      <c r="D19" s="81">
        <f>LARGE($D$2:$D$12,3)</f>
        <v>3.6947000000000001</v>
      </c>
      <c r="E19" s="39" t="str">
        <f>_xlfn.XLOOKUP(C19,'ETF - Liste'!E:E,'ETF - Liste'!B:B)</f>
        <v>iShares Global Consumer Discretionary</v>
      </c>
      <c r="F19" s="39" t="str">
        <f t="array" aca="1" ref="F19" ca="1">_xlfn.TEXTJOIN(", ",TRUE,IF(C19='Aktieliste DK'!F:F,'Aktieliste DK'!H:H,""))</f>
        <v>CARL B, PNDORA</v>
      </c>
    </row>
    <row r="20" spans="2:6" x14ac:dyDescent="0.3">
      <c r="B20">
        <v>4</v>
      </c>
      <c r="C20" s="39" t="str">
        <f t="shared" si="0"/>
        <v>Consumer Discretionary</v>
      </c>
      <c r="D20" s="81">
        <f>LARGE($D$2:$D$12,4)</f>
        <v>3.6947000000000001</v>
      </c>
      <c r="E20" s="39" t="str">
        <f>_xlfn.XLOOKUP(C20,'ETF - Liste'!E:E,'ETF - Liste'!B:B)</f>
        <v>iShares Global Consumer Discretionary</v>
      </c>
      <c r="F20" s="39" t="str">
        <f t="array" aca="1" ref="F20" ca="1">_xlfn.TEXTJOIN(", ",TRUE,IF(C20='Aktieliste DK'!F:F,'Aktieliste DK'!H:H,""))</f>
        <v>CARL B, PNDORA</v>
      </c>
    </row>
    <row r="21" spans="2:6" x14ac:dyDescent="0.3">
      <c r="B21">
        <v>5</v>
      </c>
      <c r="C21" s="39" t="str">
        <f t="shared" si="0"/>
        <v>Financials</v>
      </c>
      <c r="D21" s="81">
        <f>LARGE($D$2:$D$12,5)</f>
        <v>3.5836000000000001</v>
      </c>
      <c r="E21" s="39" t="str">
        <f>_xlfn.XLOOKUP(C21,'ETF - Liste'!E:E,'ETF - Liste'!B:B)</f>
        <v>iShares MSCI World Financials</v>
      </c>
      <c r="F21" s="39" t="str">
        <f t="array" aca="1" ref="F21" ca="1">_xlfn.TEXTJOIN(", ",TRUE,IF(C21='Aktieliste DK'!F:F,'Aktieliste DK'!H:H,""))</f>
        <v>DANSKE, TRYG, NDA SE, JYSK, ALSYDB</v>
      </c>
    </row>
    <row r="22" spans="2:6" x14ac:dyDescent="0.3">
      <c r="B22">
        <v>6</v>
      </c>
      <c r="C22" s="39" t="str">
        <f t="shared" si="0"/>
        <v>Energy</v>
      </c>
      <c r="D22" s="81">
        <f>LARGE($D$2:$D$12,6)</f>
        <v>3.0004</v>
      </c>
      <c r="E22" s="39" t="str">
        <f>_xlfn.XLOOKUP(C22,'ETF - Liste'!E:E,'ETF - Liste'!B:B)</f>
        <v>SPDR MSCI World Energy</v>
      </c>
      <c r="F22" s="39" t="str">
        <f t="array" aca="1" ref="F22" ca="1">_xlfn.TEXTJOIN(", ",TRUE,IF(C22='Aktieliste DK'!F:F,'Aktieliste DK'!H:H,""))</f>
        <v>ORSTED</v>
      </c>
    </row>
    <row r="23" spans="2:6" x14ac:dyDescent="0.3">
      <c r="B23">
        <v>7</v>
      </c>
      <c r="C23" s="39" t="str">
        <f t="shared" si="0"/>
        <v>Health Care</v>
      </c>
      <c r="D23" s="81">
        <f>LARGE($D$2:$D$12,7)</f>
        <v>2.8891999999999998</v>
      </c>
      <c r="E23" s="39" t="str">
        <f>_xlfn.XLOOKUP(C23,'ETF - Liste'!E:E,'ETF - Liste'!B:B)</f>
        <v>iShares Global Healthcare ETF</v>
      </c>
      <c r="F23" s="39" t="str">
        <f t="array" aca="1" ref="F23" ca="1">_xlfn.TEXTJOIN(", ",TRUE,IF(C23='Aktieliste DK'!F:F,'Aktieliste DK'!H:H,""))</f>
        <v>NOVO B, NSIS B, COLO B, GMAB, DEMANT, ZEAL, AMBU B, GN, BAVA</v>
      </c>
    </row>
    <row r="24" spans="2:6" x14ac:dyDescent="0.3">
      <c r="B24">
        <v>8</v>
      </c>
      <c r="C24" s="39" t="str">
        <f t="shared" si="0"/>
        <v>Consumer Staples</v>
      </c>
      <c r="D24" s="81">
        <f>LARGE($D$2:$D$12,8)</f>
        <v>2.4169999999999998</v>
      </c>
      <c r="E24" s="39" t="str">
        <f>_xlfn.XLOOKUP(C24,'ETF - Liste'!E:E,'ETF - Liste'!B:B)</f>
        <v>iShares MSCI Consumer Staples</v>
      </c>
      <c r="F24" s="39" t="str">
        <f t="array" aca="1" ref="F24" ca="1">_xlfn.TEXTJOIN(", ",TRUE,IF(C24='Aktieliste DK'!F:F,'Aktieliste DK'!H:H,""))</f>
        <v>RBREW</v>
      </c>
    </row>
    <row r="25" spans="2:6" x14ac:dyDescent="0.3">
      <c r="B25">
        <v>9</v>
      </c>
      <c r="C25" s="39" t="str">
        <f t="shared" si="0"/>
        <v>Real Estate</v>
      </c>
      <c r="D25" s="81">
        <f>LARGE($D$2:$D$12,9)</f>
        <v>2.3891</v>
      </c>
      <c r="E25" s="39" t="str">
        <f>_xlfn.XLOOKUP(C25,'ETF - Liste'!E:E,'ETF - Liste'!B:B)</f>
        <v>SPDR Dow Jones Global Real Estate</v>
      </c>
      <c r="F25" s="39" t="str">
        <f t="array" aca="1" ref="F25" ca="1">_xlfn.TEXTJOIN(", ",TRUE,IF(C25='Aktieliste DK'!F:F,'Aktieliste DK'!H:H,""))</f>
        <v/>
      </c>
    </row>
    <row r="26" spans="2:6" x14ac:dyDescent="0.3">
      <c r="B26">
        <v>10</v>
      </c>
      <c r="C26" s="39" t="str">
        <f t="shared" si="0"/>
        <v>Materials</v>
      </c>
      <c r="D26" s="81">
        <f>LARGE($D$2:$D$12,10)</f>
        <v>2.278</v>
      </c>
      <c r="E26" s="39" t="str">
        <f>_xlfn.XLOOKUP(C26,'ETF - Liste'!E:E,'ETF - Liste'!B:B)</f>
        <v>Lyxor MSCI World Materials</v>
      </c>
      <c r="F26" s="39" t="str">
        <f t="array" aca="1" ref="F26" ca="1">_xlfn.TEXTJOIN(", ",TRUE,IF(C26='Aktieliste DK'!F:F,'Aktieliste DK'!H:H,""))</f>
        <v>ROCK B</v>
      </c>
    </row>
    <row r="27" spans="2:6" x14ac:dyDescent="0.3">
      <c r="B27">
        <v>11</v>
      </c>
      <c r="C27" s="39" t="str">
        <f t="shared" si="0"/>
        <v>Utilities</v>
      </c>
      <c r="D27" s="81">
        <f>LARGE($D$2:$D$12,11)</f>
        <v>2.1114000000000002</v>
      </c>
      <c r="E27" s="39" t="str">
        <f>_xlfn.XLOOKUP(C27,'ETF - Liste'!E:E,'ETF - Liste'!B:B)</f>
        <v>iShares Global Utilities</v>
      </c>
      <c r="F27" s="39" t="str">
        <f t="array" aca="1" ref="F27" ca="1">_xlfn.TEXTJOIN(", ",TRUE,IF(C27='Aktieliste DK'!F:F,'Aktieliste DK'!H:H,""))</f>
        <v/>
      </c>
    </row>
    <row r="29" spans="2:6" ht="15" thickBot="1" x14ac:dyDescent="0.35">
      <c r="B29" s="125" t="str">
        <f>E1</f>
        <v>Q2 2026</v>
      </c>
      <c r="C29" s="125"/>
      <c r="D29" s="125"/>
      <c r="E29" s="125"/>
      <c r="F29" s="126"/>
    </row>
    <row r="30" spans="2:6" x14ac:dyDescent="0.3">
      <c r="B30" s="29" t="s">
        <v>20</v>
      </c>
      <c r="C30" s="80" t="s">
        <v>7</v>
      </c>
      <c r="D30" s="80" t="s">
        <v>4</v>
      </c>
      <c r="E30" s="80" t="s">
        <v>5</v>
      </c>
      <c r="F30" s="80" t="s">
        <v>6</v>
      </c>
    </row>
    <row r="31" spans="2:6" x14ac:dyDescent="0.3">
      <c r="B31">
        <v>1</v>
      </c>
      <c r="C31" s="39" t="str">
        <f>_xlfn.XLOOKUP(D31,$E$2:$E$12,$C$2:$C$12)</f>
        <v>Industrials</v>
      </c>
      <c r="D31" s="81">
        <f>LARGE($E$2:$E$12,1)</f>
        <v>3.9447999999999999</v>
      </c>
      <c r="E31" s="39" t="str">
        <f>_xlfn.XLOOKUP(C31,'ETF - Liste'!E:E,'ETF - Liste'!B:B)</f>
        <v>iShares MSCI World Industrials</v>
      </c>
      <c r="F31" s="39" t="str">
        <f t="array" aca="1" ref="F31" ca="1">_xlfn.TEXTJOIN(", ",TRUE,IF(C31='Aktieliste DK'!F:F,'Aktieliste DK'!H:H,""))</f>
        <v>DSV, MAERSK B, VWS, ISS, NKT</v>
      </c>
    </row>
    <row r="32" spans="2:6" x14ac:dyDescent="0.3">
      <c r="B32">
        <v>2</v>
      </c>
      <c r="C32" s="39" t="str">
        <f t="shared" ref="C32:C41" si="1">_xlfn.XLOOKUP(D32,$E$2:$E$12,$C$2:$C$12)</f>
        <v>Information Technology</v>
      </c>
      <c r="D32" s="81">
        <f>LARGE($E$2:$E$12,2)</f>
        <v>3.8336999999999999</v>
      </c>
      <c r="E32" s="39" t="str">
        <f>_xlfn.XLOOKUP(C32,'ETF - Liste'!E:E,'ETF - Liste'!B:B)</f>
        <v>Invesco Nasdaq-100 UCITS</v>
      </c>
      <c r="F32" s="39" t="str">
        <f t="array" aca="1" ref="F32" ca="1">_xlfn.TEXTJOIN(", ",TRUE,IF(C32='Aktieliste DK'!F:F,'Aktieliste DK'!H:H,""))</f>
        <v/>
      </c>
    </row>
    <row r="33" spans="2:6" x14ac:dyDescent="0.3">
      <c r="B33">
        <v>3</v>
      </c>
      <c r="C33" s="39" t="str">
        <f t="shared" si="1"/>
        <v>Financials</v>
      </c>
      <c r="D33" s="81">
        <f>LARGE($E$2:$E$12,3)</f>
        <v>3.6947999999999999</v>
      </c>
      <c r="E33" s="39" t="str">
        <f>_xlfn.XLOOKUP(C33,'ETF - Liste'!E:E,'ETF - Liste'!B:B)</f>
        <v>iShares MSCI World Financials</v>
      </c>
      <c r="F33" s="39" t="str">
        <f t="array" aca="1" ref="F33" ca="1">_xlfn.TEXTJOIN(", ",TRUE,IF(C33='Aktieliste DK'!F:F,'Aktieliste DK'!H:H,""))</f>
        <v>DANSKE, TRYG, NDA SE, JYSK, ALSYDB</v>
      </c>
    </row>
    <row r="34" spans="2:6" x14ac:dyDescent="0.3">
      <c r="B34">
        <v>4</v>
      </c>
      <c r="C34" s="39" t="str">
        <f t="shared" si="1"/>
        <v>Communications Services</v>
      </c>
      <c r="D34" s="81">
        <f>LARGE($E$2:$E$12,4)</f>
        <v>3.4447999999999999</v>
      </c>
      <c r="E34" s="39" t="str">
        <f>_xlfn.XLOOKUP(C34,'ETF - Liste'!E:E,'ETF - Liste'!B:B)</f>
        <v>Lyxor STOXX Europe Comm. Services</v>
      </c>
      <c r="F34" s="39" t="str">
        <f t="array" aca="1" ref="F34" ca="1">_xlfn.TEXTJOIN(", ",TRUE,IF(C34='Aktieliste DK'!F:F,'Aktieliste DK'!H:H,""))</f>
        <v/>
      </c>
    </row>
    <row r="35" spans="2:6" x14ac:dyDescent="0.3">
      <c r="B35">
        <v>5</v>
      </c>
      <c r="C35" s="39" t="str">
        <f t="shared" si="1"/>
        <v>Energy</v>
      </c>
      <c r="D35" s="81">
        <f>LARGE($E$2:$E$12,5)</f>
        <v>3.3614999999999999</v>
      </c>
      <c r="E35" s="39" t="str">
        <f>_xlfn.XLOOKUP(C35,'ETF - Liste'!E:E,'ETF - Liste'!B:B)</f>
        <v>SPDR MSCI World Energy</v>
      </c>
      <c r="F35" s="39" t="str">
        <f t="array" aca="1" ref="F35" ca="1">_xlfn.TEXTJOIN(", ",TRUE,IF(C35='Aktieliste DK'!F:F,'Aktieliste DK'!H:H,""))</f>
        <v>ORSTED</v>
      </c>
    </row>
    <row r="36" spans="2:6" x14ac:dyDescent="0.3">
      <c r="B36">
        <v>6</v>
      </c>
      <c r="C36" s="39" t="str">
        <f t="shared" si="1"/>
        <v>Real Estate</v>
      </c>
      <c r="D36" s="81">
        <f>LARGE($E$2:$E$12,6)</f>
        <v>3.3614000000000002</v>
      </c>
      <c r="E36" s="39" t="str">
        <f>_xlfn.XLOOKUP(C36,'ETF - Liste'!E:E,'ETF - Liste'!B:B)</f>
        <v>SPDR Dow Jones Global Real Estate</v>
      </c>
      <c r="F36" s="39" t="str">
        <f t="array" aca="1" ref="F36" ca="1">_xlfn.TEXTJOIN(", ",TRUE,IF(C36='Aktieliste DK'!F:F,'Aktieliste DK'!H:H,""))</f>
        <v/>
      </c>
    </row>
    <row r="37" spans="2:6" x14ac:dyDescent="0.3">
      <c r="B37">
        <v>7</v>
      </c>
      <c r="C37" s="39" t="str">
        <f t="shared" si="1"/>
        <v>Consumer Discretionary</v>
      </c>
      <c r="D37" s="81">
        <f>LARGE($E$2:$E$12,7)</f>
        <v>3.3335999999999997</v>
      </c>
      <c r="E37" s="39" t="str">
        <f>_xlfn.XLOOKUP(C37,'ETF - Liste'!E:E,'ETF - Liste'!B:B)</f>
        <v>iShares Global Consumer Discretionary</v>
      </c>
      <c r="F37" s="39" t="str">
        <f t="array" aca="1" ref="F37" ca="1">_xlfn.TEXTJOIN(", ",TRUE,IF(C37='Aktieliste DK'!F:F,'Aktieliste DK'!H:H,""))</f>
        <v>CARL B, PNDORA</v>
      </c>
    </row>
    <row r="38" spans="2:6" x14ac:dyDescent="0.3">
      <c r="B38">
        <v>8</v>
      </c>
      <c r="C38" s="39" t="str">
        <f t="shared" si="1"/>
        <v>Materials</v>
      </c>
      <c r="D38" s="81">
        <f>LARGE($E$2:$E$12,8)</f>
        <v>3.1114000000000002</v>
      </c>
      <c r="E38" s="39" t="str">
        <f>_xlfn.XLOOKUP(C38,'ETF - Liste'!E:E,'ETF - Liste'!B:B)</f>
        <v>Lyxor MSCI World Materials</v>
      </c>
      <c r="F38" s="39" t="str">
        <f t="array" aca="1" ref="F38" ca="1">_xlfn.TEXTJOIN(", ",TRUE,IF(C38='Aktieliste DK'!F:F,'Aktieliste DK'!H:H,""))</f>
        <v>ROCK B</v>
      </c>
    </row>
    <row r="39" spans="2:6" x14ac:dyDescent="0.3">
      <c r="B39">
        <v>9</v>
      </c>
      <c r="C39" s="39" t="str">
        <f t="shared" si="1"/>
        <v>Health Care</v>
      </c>
      <c r="D39" s="81">
        <f>LARGE($E$2:$E$12,9)</f>
        <v>2.7502999999999997</v>
      </c>
      <c r="E39" s="39" t="str">
        <f>_xlfn.XLOOKUP(C39,'ETF - Liste'!E:E,'ETF - Liste'!B:B)</f>
        <v>iShares Global Healthcare ETF</v>
      </c>
      <c r="F39" s="39" t="str">
        <f t="array" aca="1" ref="F39" ca="1">_xlfn.TEXTJOIN(", ",TRUE,IF(C39='Aktieliste DK'!F:F,'Aktieliste DK'!H:H,""))</f>
        <v>NOVO B, NSIS B, COLO B, GMAB, DEMANT, ZEAL, AMBU B, GN, BAVA</v>
      </c>
    </row>
    <row r="40" spans="2:6" x14ac:dyDescent="0.3">
      <c r="B40">
        <v>10</v>
      </c>
      <c r="C40" s="39" t="str">
        <f t="shared" si="1"/>
        <v>Utilities</v>
      </c>
      <c r="D40" s="81">
        <f>LARGE($E$2:$E$12,10)</f>
        <v>2.6114000000000002</v>
      </c>
      <c r="E40" s="39" t="str">
        <f>_xlfn.XLOOKUP(C40,'ETF - Liste'!E:E,'ETF - Liste'!B:B)</f>
        <v>iShares Global Utilities</v>
      </c>
      <c r="F40" s="39" t="str">
        <f t="array" aca="1" ref="F40" ca="1">_xlfn.TEXTJOIN(", ",TRUE,IF(C40='Aktieliste DK'!F:F,'Aktieliste DK'!H:H,""))</f>
        <v/>
      </c>
    </row>
    <row r="41" spans="2:6" x14ac:dyDescent="0.3">
      <c r="B41">
        <v>11</v>
      </c>
      <c r="C41" s="39" t="str">
        <f t="shared" si="1"/>
        <v>Consumer Staples</v>
      </c>
      <c r="D41" s="81">
        <f>LARGE($E$2:$E$12,11)</f>
        <v>2.3058000000000001</v>
      </c>
      <c r="E41" s="39" t="str">
        <f>_xlfn.XLOOKUP(C41,'ETF - Liste'!E:E,'ETF - Liste'!B:B)</f>
        <v>iShares MSCI Consumer Staples</v>
      </c>
      <c r="F41" s="39" t="str">
        <f t="array" aca="1" ref="F41" ca="1">_xlfn.TEXTJOIN(", ",TRUE,IF(C41='Aktieliste DK'!F:F,'Aktieliste DK'!H:H,""))</f>
        <v>RBREW</v>
      </c>
    </row>
  </sheetData>
  <mergeCells count="2">
    <mergeCell ref="B15:F15"/>
    <mergeCell ref="B29:F29"/>
  </mergeCells>
  <conditionalFormatting sqref="D17:D27">
    <cfRule type="cellIs" dxfId="25" priority="4" operator="lessThan">
      <formula>3</formula>
    </cfRule>
    <cfRule type="cellIs" dxfId="24" priority="5" operator="between">
      <formula>3</formula>
      <formula>3.79</formula>
    </cfRule>
    <cfRule type="cellIs" dxfId="23" priority="6" operator="greaterThan">
      <formula>3.8</formula>
    </cfRule>
  </conditionalFormatting>
  <conditionalFormatting sqref="D31:D41">
    <cfRule type="cellIs" dxfId="22" priority="1" operator="lessThan">
      <formula>3</formula>
    </cfRule>
    <cfRule type="cellIs" dxfId="21" priority="2" operator="between">
      <formula>3</formula>
      <formula>3.79</formula>
    </cfRule>
    <cfRule type="cellIs" dxfId="20" priority="3" operator="greaterThan">
      <formula>3.8</formula>
    </cfRule>
  </conditionalFormatting>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499984740745262"/>
  </sheetPr>
  <dimension ref="B1:F41"/>
  <sheetViews>
    <sheetView showGridLines="0" topLeftCell="A14" zoomScaleNormal="100" workbookViewId="0">
      <selection activeCell="D38" sqref="D38"/>
    </sheetView>
  </sheetViews>
  <sheetFormatPr defaultRowHeight="14.4" x14ac:dyDescent="0.3"/>
  <cols>
    <col min="1" max="1" width="2.33203125" customWidth="1"/>
    <col min="2" max="2" width="5.44140625" customWidth="1"/>
    <col min="3" max="3" width="25" customWidth="1"/>
    <col min="4" max="4" width="32.6640625" bestFit="1" customWidth="1"/>
    <col min="5" max="5" width="36.33203125" customWidth="1"/>
    <col min="6" max="6" width="47.6640625" bestFit="1" customWidth="1"/>
  </cols>
  <sheetData>
    <row r="1" spans="2:6" x14ac:dyDescent="0.3">
      <c r="B1" s="79" t="s">
        <v>7</v>
      </c>
      <c r="C1" s="79" t="s">
        <v>8</v>
      </c>
      <c r="D1" s="79" t="str">
        <f>'Makro analyse'!K69</f>
        <v>Q1 2026</v>
      </c>
      <c r="E1" s="79" t="str">
        <f>'Makro analyse'!T69</f>
        <v>Q2 2026</v>
      </c>
    </row>
    <row r="2" spans="2:6" x14ac:dyDescent="0.3">
      <c r="B2" t="s">
        <v>9</v>
      </c>
      <c r="C2" s="33"/>
      <c r="D2" s="94">
        <f>'Makro analyse'!K71</f>
        <v>3.3614000000000002</v>
      </c>
      <c r="E2" s="94">
        <f>'Makro analyse'!T71</f>
        <v>3.4725999999999999</v>
      </c>
    </row>
    <row r="3" spans="2:6" x14ac:dyDescent="0.3">
      <c r="B3" t="s">
        <v>10</v>
      </c>
      <c r="C3" s="33"/>
      <c r="D3" s="94">
        <f>'Makro analyse'!K72</f>
        <v>3.0836999999999999</v>
      </c>
      <c r="E3" s="94">
        <f>'Makro analyse'!T72</f>
        <v>2.528</v>
      </c>
    </row>
    <row r="4" spans="2:6" x14ac:dyDescent="0.3">
      <c r="B4" t="s">
        <v>11</v>
      </c>
      <c r="C4" s="33"/>
      <c r="D4" s="94">
        <f>'Makro analyse'!K73</f>
        <v>3.9726000000000004</v>
      </c>
      <c r="E4" s="94">
        <f>'Makro analyse'!T73</f>
        <v>3.6114999999999999</v>
      </c>
    </row>
    <row r="5" spans="2:6" x14ac:dyDescent="0.3">
      <c r="B5" t="s">
        <v>12</v>
      </c>
      <c r="C5" s="33"/>
      <c r="D5" s="94">
        <f>'Makro analyse'!K74</f>
        <v>4.3615000000000004</v>
      </c>
      <c r="E5" s="94">
        <f>'Makro analyse'!T74</f>
        <v>4.3338000000000001</v>
      </c>
    </row>
    <row r="6" spans="2:6" x14ac:dyDescent="0.3">
      <c r="B6" t="s">
        <v>13</v>
      </c>
      <c r="C6" s="33"/>
      <c r="D6" s="94">
        <f>'Makro analyse'!K75</f>
        <v>3.9726000000000004</v>
      </c>
      <c r="E6" s="94">
        <f>'Makro analyse'!T75</f>
        <v>3.6114999999999999</v>
      </c>
    </row>
    <row r="7" spans="2:6" x14ac:dyDescent="0.3">
      <c r="B7" t="s">
        <v>14</v>
      </c>
      <c r="C7" s="33"/>
      <c r="D7" s="94">
        <f>'Makro analyse'!K76</f>
        <v>2.7780999999999998</v>
      </c>
      <c r="E7" s="94">
        <f>'Makro analyse'!T76</f>
        <v>2.0834999999999999</v>
      </c>
    </row>
    <row r="8" spans="2:6" x14ac:dyDescent="0.3">
      <c r="B8" t="s">
        <v>15</v>
      </c>
      <c r="C8" s="33"/>
      <c r="D8" s="94">
        <f>'Makro analyse'!K77</f>
        <v>2.6391999999999998</v>
      </c>
      <c r="E8" s="94">
        <f>'Makro analyse'!T77</f>
        <v>2.2223999999999999</v>
      </c>
    </row>
    <row r="9" spans="2:6" x14ac:dyDescent="0.3">
      <c r="B9" t="s">
        <v>16</v>
      </c>
      <c r="C9" s="33"/>
      <c r="D9" s="94">
        <f>'Makro analyse'!K78</f>
        <v>2.3891</v>
      </c>
      <c r="E9" s="94">
        <f>'Makro analyse'!T78</f>
        <v>2.8613999999999997</v>
      </c>
    </row>
    <row r="10" spans="2:6" x14ac:dyDescent="0.3">
      <c r="B10" t="s">
        <v>17</v>
      </c>
      <c r="C10" s="33"/>
      <c r="D10" s="94">
        <f>'Makro analyse'!K79</f>
        <v>2.7225000000000001</v>
      </c>
      <c r="E10" s="94">
        <f>'Makro analyse'!T79</f>
        <v>3.0835999999999997</v>
      </c>
    </row>
    <row r="11" spans="2:6" x14ac:dyDescent="0.3">
      <c r="B11" t="s">
        <v>18</v>
      </c>
      <c r="C11" s="33"/>
      <c r="D11" s="94">
        <f>'Makro analyse'!K80</f>
        <v>3.5280999999999998</v>
      </c>
      <c r="E11" s="94">
        <f>'Makro analyse'!T80</f>
        <v>3.7504</v>
      </c>
    </row>
    <row r="12" spans="2:6" x14ac:dyDescent="0.3">
      <c r="B12" t="s">
        <v>19</v>
      </c>
      <c r="C12" s="33"/>
      <c r="D12" s="94">
        <f>'Makro analyse'!K81</f>
        <v>2.028</v>
      </c>
      <c r="E12" s="94">
        <f>'Makro analyse'!T81</f>
        <v>2.2223999999999999</v>
      </c>
    </row>
    <row r="15" spans="2:6" ht="15" customHeight="1" thickBot="1" x14ac:dyDescent="0.35">
      <c r="B15" s="126" t="str">
        <f>D1</f>
        <v>Q1 2026</v>
      </c>
      <c r="C15" s="127"/>
      <c r="D15" s="127"/>
      <c r="E15" s="127"/>
      <c r="F15" s="128"/>
    </row>
    <row r="16" spans="2:6" x14ac:dyDescent="0.3">
      <c r="B16" s="29" t="s">
        <v>20</v>
      </c>
      <c r="C16" s="80" t="s">
        <v>7</v>
      </c>
      <c r="D16" s="80" t="s">
        <v>4</v>
      </c>
      <c r="E16" s="80" t="s">
        <v>5</v>
      </c>
      <c r="F16" s="80" t="s">
        <v>6</v>
      </c>
    </row>
    <row r="17" spans="2:6" x14ac:dyDescent="0.3">
      <c r="B17">
        <v>1</v>
      </c>
      <c r="C17" s="39" t="str">
        <f t="shared" ref="C17:C27" si="0">_xlfn.XLOOKUP(D17,$D$2:$D$12,$B$2:$B$12)</f>
        <v>Information Technology</v>
      </c>
      <c r="D17" s="81">
        <f>LARGE($D$2:$D$12,1)</f>
        <v>4.3615000000000004</v>
      </c>
      <c r="E17" s="39" t="str">
        <f>_xlfn.XLOOKUP(C17,'ETF - Liste'!E:E,'ETF - Liste'!B:B)</f>
        <v>Invesco Nasdaq-100 UCITS</v>
      </c>
      <c r="F17" s="39" t="str">
        <f t="array" aca="1" ref="F17" ca="1">_xlfn.TEXTJOIN(", ",TRUE,IF(C17='Aktieliste EU'!F:F,'Aktieliste EU'!G:G,""))</f>
        <v>SU, SAP, WLN</v>
      </c>
    </row>
    <row r="18" spans="2:6" x14ac:dyDescent="0.3">
      <c r="B18">
        <v>2</v>
      </c>
      <c r="C18" s="39" t="str">
        <f t="shared" si="0"/>
        <v>Consumer Discretionary</v>
      </c>
      <c r="D18" s="81">
        <f>LARGE($D$2:$D$12,2)</f>
        <v>3.9726000000000004</v>
      </c>
      <c r="E18" s="39" t="str">
        <f>_xlfn.XLOOKUP(C18,'ETF - Liste'!E:E,'ETF - Liste'!B:B)</f>
        <v>iShares Global Consumer Discretionary</v>
      </c>
      <c r="F18" s="39" t="str">
        <f t="array" aca="1" ref="F18" ca="1">_xlfn.TEXTJOIN(", ",TRUE,IF(C18='Aktieliste EU'!F:F,'Aktieliste EU'!G:G,""))</f>
        <v>EL, RMS, ITX, KER, MMO, MBG, STLA, VOW3, ZAL</v>
      </c>
    </row>
    <row r="19" spans="2:6" x14ac:dyDescent="0.3">
      <c r="B19">
        <v>3</v>
      </c>
      <c r="C19" s="39" t="str">
        <f t="shared" si="0"/>
        <v>Consumer Discretionary</v>
      </c>
      <c r="D19" s="81">
        <f>LARGE($D$2:$D$12,3)</f>
        <v>3.9726000000000004</v>
      </c>
      <c r="E19" s="39" t="str">
        <f>_xlfn.XLOOKUP(C19,'ETF - Liste'!E:E,'ETF - Liste'!B:B)</f>
        <v>iShares Global Consumer Discretionary</v>
      </c>
      <c r="F19" s="39" t="str">
        <f t="array" aca="1" ref="F19" ca="1">_xlfn.TEXTJOIN(", ",TRUE,IF(C19='Aktieliste EU'!F:F,'Aktieliste EU'!G:G,""))</f>
        <v>EL, RMS, ITX, KER, MMO, MBG, STLA, VOW3, ZAL</v>
      </c>
    </row>
    <row r="20" spans="2:6" x14ac:dyDescent="0.3">
      <c r="B20">
        <v>4</v>
      </c>
      <c r="C20" s="39" t="str">
        <f t="shared" si="0"/>
        <v>Communications Services</v>
      </c>
      <c r="D20" s="81">
        <f>LARGE($D$2:$D$12,4)</f>
        <v>3.5280999999999998</v>
      </c>
      <c r="E20" s="39" t="str">
        <f>_xlfn.XLOOKUP(C20,'ETF - Liste'!E:E,'ETF - Liste'!B:B)</f>
        <v>Lyxor STOXX Europe Comm. Services</v>
      </c>
      <c r="F20" s="39" t="str">
        <f t="array" aca="1" ref="F20" ca="1">_xlfn.TEXTJOIN(", ",TRUE,IF(C20='Aktieliste EU'!F:F,'Aktieliste EU'!G:G,""))</f>
        <v/>
      </c>
    </row>
    <row r="21" spans="2:6" x14ac:dyDescent="0.3">
      <c r="B21">
        <v>5</v>
      </c>
      <c r="C21" s="39" t="str">
        <f t="shared" si="0"/>
        <v>Financials</v>
      </c>
      <c r="D21" s="81">
        <f>LARGE($D$2:$D$12,5)</f>
        <v>3.3614000000000002</v>
      </c>
      <c r="E21" s="39" t="str">
        <f>_xlfn.XLOOKUP(C21,'ETF - Liste'!E:E,'ETF - Liste'!B:B)</f>
        <v>iShares MSCI World Financials</v>
      </c>
      <c r="F21" s="39" t="str">
        <f t="array" aca="1" ref="F21" ca="1">_xlfn.TEXTJOIN(", ",TRUE,IF(C21='Aktieliste EU'!F:F,'Aktieliste EU'!G:G,""))</f>
        <v>ALV, CS, BBVA, BNP, DBK, G, INGA, ISP, MUV2, UCG, SAN</v>
      </c>
    </row>
    <row r="22" spans="2:6" x14ac:dyDescent="0.3">
      <c r="B22">
        <v>6</v>
      </c>
      <c r="C22" s="39" t="str">
        <f t="shared" si="0"/>
        <v>Real Estate</v>
      </c>
      <c r="D22" s="81">
        <f>LARGE($D$2:$D$12,6)</f>
        <v>3.0836999999999999</v>
      </c>
      <c r="E22" s="39" t="str">
        <f>_xlfn.XLOOKUP(C22,'ETF - Liste'!E:E,'ETF - Liste'!B:B)</f>
        <v>SPDR Dow Jones Global Real Estate</v>
      </c>
      <c r="F22" s="39" t="str">
        <f t="array" aca="1" ref="F22" ca="1">_xlfn.TEXTJOIN(", ",TRUE,IF(C22='Aktieliste EU'!F:F,'Aktieliste EU'!G:G,""))</f>
        <v>VNA</v>
      </c>
    </row>
    <row r="23" spans="2:6" x14ac:dyDescent="0.3">
      <c r="B23">
        <v>7</v>
      </c>
      <c r="C23" s="39" t="str">
        <f t="shared" si="0"/>
        <v>Materials</v>
      </c>
      <c r="D23" s="81">
        <f>LARGE($D$2:$D$12,7)</f>
        <v>2.7780999999999998</v>
      </c>
      <c r="E23" s="39" t="str">
        <f>_xlfn.XLOOKUP(C23,'ETF - Liste'!E:E,'ETF - Liste'!B:B)</f>
        <v>Lyxor MSCI World Materials</v>
      </c>
      <c r="F23" s="39" t="str">
        <f t="array" aca="1" ref="F23" ca="1">_xlfn.TEXTJOIN(", ",TRUE,IF(C23='Aktieliste EU'!F:F,'Aktieliste EU'!G:G,""))</f>
        <v>BAS</v>
      </c>
    </row>
    <row r="24" spans="2:6" x14ac:dyDescent="0.3">
      <c r="B24">
        <v>8</v>
      </c>
      <c r="C24" s="39" t="str">
        <f t="shared" si="0"/>
        <v>Energy</v>
      </c>
      <c r="D24" s="81">
        <f>LARGE($D$2:$D$12,8)</f>
        <v>2.7225000000000001</v>
      </c>
      <c r="E24" s="39" t="str">
        <f>_xlfn.XLOOKUP(C24,'ETF - Liste'!E:E,'ETF - Liste'!B:B)</f>
        <v>SPDR MSCI World Energy</v>
      </c>
      <c r="F24" s="39" t="str">
        <f t="array" aca="1" ref="F24" ca="1">_xlfn.TEXTJOIN(", ",TRUE,IF(C24='Aktieliste EU'!F:F,'Aktieliste EU'!G:G,""))</f>
        <v>ENEL, ENI, TTE</v>
      </c>
    </row>
    <row r="25" spans="2:6" x14ac:dyDescent="0.3">
      <c r="B25">
        <v>9</v>
      </c>
      <c r="C25" s="39" t="str">
        <f t="shared" si="0"/>
        <v>Consumer Staples</v>
      </c>
      <c r="D25" s="81">
        <f>LARGE($D$2:$D$12,9)</f>
        <v>2.6391999999999998</v>
      </c>
      <c r="E25" s="39" t="str">
        <f>_xlfn.XLOOKUP(C25,'ETF - Liste'!E:E,'ETF - Liste'!B:B)</f>
        <v>iShares MSCI Consumer Staples</v>
      </c>
      <c r="F25" s="39" t="str">
        <f t="array" aca="1" ref="F25" ca="1">_xlfn.TEXTJOIN(", ",TRUE,IF(C25='Aktieliste EU'!F:F,'Aktieliste EU'!G:G,""))</f>
        <v>ABI, BN, OR</v>
      </c>
    </row>
    <row r="26" spans="2:6" x14ac:dyDescent="0.3">
      <c r="B26">
        <v>10</v>
      </c>
      <c r="C26" s="39" t="str">
        <f t="shared" si="0"/>
        <v>Health Care</v>
      </c>
      <c r="D26" s="81">
        <f>LARGE($D$2:$D$12,10)</f>
        <v>2.3891</v>
      </c>
      <c r="E26" s="39" t="str">
        <f>_xlfn.XLOOKUP(C26,'ETF - Liste'!E:E,'ETF - Liste'!B:B)</f>
        <v>iShares Global Healthcare ETF</v>
      </c>
      <c r="F26" s="39" t="str">
        <f t="array" aca="1" ref="F26" ca="1">_xlfn.TEXTJOIN(", ",TRUE,IF(C26='Aktieliste EU'!F:F,'Aktieliste EU'!G:G,""))</f>
        <v>SHL, PHIA, SAN</v>
      </c>
    </row>
    <row r="27" spans="2:6" x14ac:dyDescent="0.3">
      <c r="B27">
        <v>11</v>
      </c>
      <c r="C27" s="39" t="str">
        <f t="shared" si="0"/>
        <v>Utilities</v>
      </c>
      <c r="D27" s="81">
        <f>LARGE($D$2:$D$12,11)</f>
        <v>2.028</v>
      </c>
      <c r="E27" s="39" t="str">
        <f>_xlfn.XLOOKUP(C27,'ETF - Liste'!E:E,'ETF - Liste'!B:B)</f>
        <v>iShares Global Utilities</v>
      </c>
      <c r="F27" s="39" t="str">
        <f t="array" aca="1" ref="F27" ca="1">_xlfn.TEXTJOIN(", ",TRUE,IF(C27='Aktieliste EU'!F:F,'Aktieliste EU'!G:G,""))</f>
        <v>ENGI, IBE, ORAT</v>
      </c>
    </row>
    <row r="29" spans="2:6" ht="15" thickBot="1" x14ac:dyDescent="0.35">
      <c r="B29" s="126" t="str">
        <f>E1</f>
        <v>Q2 2026</v>
      </c>
      <c r="C29" s="127"/>
      <c r="D29" s="127"/>
      <c r="E29" s="127"/>
      <c r="F29" s="128"/>
    </row>
    <row r="30" spans="2:6" x14ac:dyDescent="0.3">
      <c r="B30" s="29" t="s">
        <v>20</v>
      </c>
      <c r="C30" s="80" t="s">
        <v>7</v>
      </c>
      <c r="D30" s="80" t="s">
        <v>4</v>
      </c>
      <c r="E30" s="80" t="s">
        <v>5</v>
      </c>
      <c r="F30" s="80" t="s">
        <v>6</v>
      </c>
    </row>
    <row r="31" spans="2:6" x14ac:dyDescent="0.3">
      <c r="B31">
        <v>1</v>
      </c>
      <c r="C31" s="39" t="str">
        <f>_xlfn.XLOOKUP(D31,$E$2:$E$12,$B$2:$B$12)</f>
        <v>Information Technology</v>
      </c>
      <c r="D31" s="81">
        <f>LARGE($E$2:$E$12,1)</f>
        <v>4.3338000000000001</v>
      </c>
      <c r="E31" s="39" t="str">
        <f>_xlfn.XLOOKUP(C31,'ETF - Liste'!E:E,'ETF - Liste'!B:B)</f>
        <v>Invesco Nasdaq-100 UCITS</v>
      </c>
      <c r="F31" s="39" t="str">
        <f t="array" aca="1" ref="F31" ca="1">_xlfn.TEXTJOIN(", ",TRUE,IF(C31='Aktieliste EU'!F:F,'Aktieliste EU'!G:G,""))</f>
        <v>SU, SAP, WLN</v>
      </c>
    </row>
    <row r="32" spans="2:6" x14ac:dyDescent="0.3">
      <c r="B32">
        <v>2</v>
      </c>
      <c r="C32" s="39" t="str">
        <f t="shared" ref="C32:C41" si="1">_xlfn.XLOOKUP(D32,$E$2:$E$12,$B$2:$B$12)</f>
        <v>Communications Services</v>
      </c>
      <c r="D32" s="81">
        <f>LARGE($E$2:$E$12,2)</f>
        <v>3.7504</v>
      </c>
      <c r="E32" s="39" t="str">
        <f>_xlfn.XLOOKUP(C32,'ETF - Liste'!E:E,'ETF - Liste'!B:B)</f>
        <v>Lyxor STOXX Europe Comm. Services</v>
      </c>
      <c r="F32" s="39" t="str">
        <f t="array" aca="1" ref="F32" ca="1">_xlfn.TEXTJOIN(", ",TRUE,IF(C32='Aktieliste EU'!F:F,'Aktieliste EU'!G:G,""))</f>
        <v/>
      </c>
    </row>
    <row r="33" spans="2:6" x14ac:dyDescent="0.3">
      <c r="B33">
        <v>3</v>
      </c>
      <c r="C33" s="39" t="str">
        <f t="shared" si="1"/>
        <v>Consumer Discretionary</v>
      </c>
      <c r="D33" s="81">
        <f>LARGE($E$2:$E$12,3)</f>
        <v>3.6114999999999999</v>
      </c>
      <c r="E33" s="39" t="str">
        <f>_xlfn.XLOOKUP(C33,'ETF - Liste'!E:E,'ETF - Liste'!B:B)</f>
        <v>iShares Global Consumer Discretionary</v>
      </c>
      <c r="F33" s="39" t="str">
        <f t="array" aca="1" ref="F33" ca="1">_xlfn.TEXTJOIN(", ",TRUE,IF(C33='Aktieliste EU'!F:F,'Aktieliste EU'!G:G,""))</f>
        <v>EL, RMS, ITX, KER, MMO, MBG, STLA, VOW3, ZAL</v>
      </c>
    </row>
    <row r="34" spans="2:6" x14ac:dyDescent="0.3">
      <c r="B34">
        <v>4</v>
      </c>
      <c r="C34" s="39" t="str">
        <f t="shared" si="1"/>
        <v>Consumer Discretionary</v>
      </c>
      <c r="D34" s="81">
        <f>LARGE($E$2:$E$12,4)</f>
        <v>3.6114999999999999</v>
      </c>
      <c r="E34" s="39" t="str">
        <f>_xlfn.XLOOKUP(C34,'ETF - Liste'!E:E,'ETF - Liste'!B:B)</f>
        <v>iShares Global Consumer Discretionary</v>
      </c>
      <c r="F34" s="39" t="str">
        <f t="array" aca="1" ref="F34" ca="1">_xlfn.TEXTJOIN(", ",TRUE,IF(C34='Aktieliste EU'!F:F,'Aktieliste EU'!G:G,""))</f>
        <v>EL, RMS, ITX, KER, MMO, MBG, STLA, VOW3, ZAL</v>
      </c>
    </row>
    <row r="35" spans="2:6" x14ac:dyDescent="0.3">
      <c r="B35">
        <v>5</v>
      </c>
      <c r="C35" s="39" t="str">
        <f t="shared" si="1"/>
        <v>Financials</v>
      </c>
      <c r="D35" s="81">
        <f>LARGE($E$2:$E$12,5)</f>
        <v>3.4725999999999999</v>
      </c>
      <c r="E35" s="39" t="str">
        <f>_xlfn.XLOOKUP(C35,'ETF - Liste'!E:E,'ETF - Liste'!B:B)</f>
        <v>iShares MSCI World Financials</v>
      </c>
      <c r="F35" s="39" t="str">
        <f t="array" aca="1" ref="F35" ca="1">_xlfn.TEXTJOIN(", ",TRUE,IF(C35='Aktieliste EU'!F:F,'Aktieliste EU'!G:G,""))</f>
        <v>ALV, CS, BBVA, BNP, DBK, G, INGA, ISP, MUV2, UCG, SAN</v>
      </c>
    </row>
    <row r="36" spans="2:6" x14ac:dyDescent="0.3">
      <c r="B36">
        <v>6</v>
      </c>
      <c r="C36" s="39" t="str">
        <f t="shared" si="1"/>
        <v>Energy</v>
      </c>
      <c r="D36" s="81">
        <f>LARGE($E$2:$E$12,6)</f>
        <v>3.0835999999999997</v>
      </c>
      <c r="E36" s="39" t="str">
        <f>_xlfn.XLOOKUP(C36,'ETF - Liste'!E:E,'ETF - Liste'!B:B)</f>
        <v>SPDR MSCI World Energy</v>
      </c>
      <c r="F36" s="39" t="str">
        <f t="array" aca="1" ref="F36" ca="1">_xlfn.TEXTJOIN(", ",TRUE,IF(C36='Aktieliste EU'!F:F,'Aktieliste EU'!G:G,""))</f>
        <v>ENEL, ENI, TTE</v>
      </c>
    </row>
    <row r="37" spans="2:6" x14ac:dyDescent="0.3">
      <c r="B37">
        <v>7</v>
      </c>
      <c r="C37" s="39" t="str">
        <f t="shared" si="1"/>
        <v>Health Care</v>
      </c>
      <c r="D37" s="81">
        <f>LARGE($E$2:$E$12,7)</f>
        <v>2.8613999999999997</v>
      </c>
      <c r="E37" s="39" t="str">
        <f>_xlfn.XLOOKUP(C37,'ETF - Liste'!E:E,'ETF - Liste'!B:B)</f>
        <v>iShares Global Healthcare ETF</v>
      </c>
      <c r="F37" s="39" t="str">
        <f t="array" aca="1" ref="F37" ca="1">_xlfn.TEXTJOIN(", ",TRUE,IF(C37='Aktieliste EU'!F:F,'Aktieliste EU'!G:G,""))</f>
        <v>SHL, PHIA, SAN</v>
      </c>
    </row>
    <row r="38" spans="2:6" x14ac:dyDescent="0.3">
      <c r="B38">
        <v>8</v>
      </c>
      <c r="C38" s="39" t="str">
        <f t="shared" si="1"/>
        <v>Real Estate</v>
      </c>
      <c r="D38" s="81">
        <f>LARGE($E$2:$E$12,8)</f>
        <v>2.528</v>
      </c>
      <c r="E38" s="39" t="str">
        <f>_xlfn.XLOOKUP(C38,'ETF - Liste'!E:E,'ETF - Liste'!B:B)</f>
        <v>SPDR Dow Jones Global Real Estate</v>
      </c>
      <c r="F38" s="39" t="str">
        <f t="array" aca="1" ref="F38" ca="1">_xlfn.TEXTJOIN(", ",TRUE,IF(C38='Aktieliste EU'!F:F,'Aktieliste EU'!G:G,""))</f>
        <v>VNA</v>
      </c>
    </row>
    <row r="39" spans="2:6" x14ac:dyDescent="0.3">
      <c r="B39">
        <v>9</v>
      </c>
      <c r="C39" s="39" t="str">
        <f t="shared" si="1"/>
        <v>Consumer Staples</v>
      </c>
      <c r="D39" s="81">
        <f>LARGE($E$2:$E$12,9)</f>
        <v>2.2223999999999999</v>
      </c>
      <c r="E39" s="39" t="str">
        <f>_xlfn.XLOOKUP(C39,'ETF - Liste'!E:E,'ETF - Liste'!B:B)</f>
        <v>iShares MSCI Consumer Staples</v>
      </c>
      <c r="F39" s="39" t="str">
        <f t="array" aca="1" ref="F39" ca="1">_xlfn.TEXTJOIN(", ",TRUE,IF(C39='Aktieliste EU'!F:F,'Aktieliste EU'!G:G,""))</f>
        <v>ABI, BN, OR</v>
      </c>
    </row>
    <row r="40" spans="2:6" x14ac:dyDescent="0.3">
      <c r="B40">
        <v>10</v>
      </c>
      <c r="C40" s="39" t="str">
        <f t="shared" si="1"/>
        <v>Consumer Staples</v>
      </c>
      <c r="D40" s="81">
        <f>LARGE($E$2:$E$12,10)</f>
        <v>2.2223999999999999</v>
      </c>
      <c r="E40" s="39" t="str">
        <f>_xlfn.XLOOKUP(C40,'ETF - Liste'!E:E,'ETF - Liste'!B:B)</f>
        <v>iShares MSCI Consumer Staples</v>
      </c>
      <c r="F40" s="39" t="str">
        <f t="array" aca="1" ref="F40" ca="1">_xlfn.TEXTJOIN(", ",TRUE,IF(C40='Aktieliste EU'!F:F,'Aktieliste EU'!G:G,""))</f>
        <v>ABI, BN, OR</v>
      </c>
    </row>
    <row r="41" spans="2:6" x14ac:dyDescent="0.3">
      <c r="B41">
        <v>11</v>
      </c>
      <c r="C41" s="39" t="str">
        <f t="shared" si="1"/>
        <v>Materials</v>
      </c>
      <c r="D41" s="81">
        <f>LARGE($E$2:$E$12,11)</f>
        <v>2.0834999999999999</v>
      </c>
      <c r="E41" s="39" t="str">
        <f>_xlfn.XLOOKUP(C41,'ETF - Liste'!E:E,'ETF - Liste'!B:B)</f>
        <v>Lyxor MSCI World Materials</v>
      </c>
      <c r="F41" s="39" t="str">
        <f t="array" aca="1" ref="F41" ca="1">_xlfn.TEXTJOIN(", ",TRUE,IF(C41='Aktieliste EU'!F:F,'Aktieliste EU'!G:G,""))</f>
        <v>BAS</v>
      </c>
    </row>
  </sheetData>
  <mergeCells count="2">
    <mergeCell ref="B15:F15"/>
    <mergeCell ref="B29:F29"/>
  </mergeCells>
  <conditionalFormatting sqref="D17:D27">
    <cfRule type="cellIs" dxfId="19" priority="4" operator="lessThan">
      <formula>3</formula>
    </cfRule>
    <cfRule type="cellIs" dxfId="18" priority="5" operator="between">
      <formula>3</formula>
      <formula>3.79</formula>
    </cfRule>
    <cfRule type="cellIs" dxfId="17" priority="6" operator="greaterThan">
      <formula>3.8</formula>
    </cfRule>
  </conditionalFormatting>
  <conditionalFormatting sqref="D31:D41">
    <cfRule type="cellIs" dxfId="16" priority="1" operator="lessThan">
      <formula>3</formula>
    </cfRule>
    <cfRule type="cellIs" dxfId="15" priority="2" operator="between">
      <formula>3</formula>
      <formula>3.79</formula>
    </cfRule>
    <cfRule type="cellIs" dxfId="14" priority="3" operator="greaterThan">
      <formula>3.8</formula>
    </cfRule>
  </conditionalFormatting>
  <pageMargins left="0.75" right="0.75" top="1" bottom="1"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499984740745262"/>
  </sheetPr>
  <dimension ref="B1:F43"/>
  <sheetViews>
    <sheetView showGridLines="0" topLeftCell="A10" zoomScale="85" zoomScaleNormal="85" workbookViewId="0">
      <selection activeCell="D40" sqref="D40"/>
    </sheetView>
  </sheetViews>
  <sheetFormatPr defaultRowHeight="14.4" x14ac:dyDescent="0.3"/>
  <cols>
    <col min="1" max="1" width="2.33203125" customWidth="1"/>
    <col min="2" max="2" width="5.44140625" customWidth="1"/>
    <col min="3" max="3" width="25" customWidth="1"/>
    <col min="4" max="4" width="32.6640625" bestFit="1" customWidth="1"/>
    <col min="5" max="5" width="36.33203125" customWidth="1"/>
    <col min="6" max="6" width="64.33203125" bestFit="1" customWidth="1"/>
  </cols>
  <sheetData>
    <row r="1" spans="2:6" x14ac:dyDescent="0.3">
      <c r="B1" s="79" t="s">
        <v>7</v>
      </c>
      <c r="C1" s="79"/>
      <c r="D1" s="79"/>
      <c r="E1" s="79" t="str">
        <f>'Makro analyse'!K109</f>
        <v>Q1 2026</v>
      </c>
      <c r="F1" s="79" t="str">
        <f>'Makro analyse'!T109</f>
        <v>Q2 2026</v>
      </c>
    </row>
    <row r="2" spans="2:6" x14ac:dyDescent="0.3">
      <c r="B2" t="s">
        <v>9</v>
      </c>
      <c r="C2" s="33"/>
      <c r="D2" s="33"/>
      <c r="E2" s="33">
        <f>'Makro analyse'!K111</f>
        <v>3.2502000000000004</v>
      </c>
      <c r="F2">
        <f>'Makro analyse'!T111</f>
        <v>3.3614000000000002</v>
      </c>
    </row>
    <row r="3" spans="2:6" x14ac:dyDescent="0.3">
      <c r="B3" t="s">
        <v>10</v>
      </c>
      <c r="C3" s="33"/>
      <c r="D3" s="33"/>
      <c r="E3" s="33">
        <f>'Makro analyse'!K112</f>
        <v>3.1669999999999998</v>
      </c>
      <c r="F3">
        <f>'Makro analyse'!T112</f>
        <v>2.5002</v>
      </c>
    </row>
    <row r="4" spans="2:6" x14ac:dyDescent="0.3">
      <c r="B4" t="s">
        <v>11</v>
      </c>
      <c r="C4" s="33"/>
      <c r="D4" s="33"/>
      <c r="E4" s="33">
        <f>'Makro analyse'!K113</f>
        <v>2.7500999999999998</v>
      </c>
      <c r="F4">
        <f>'Makro analyse'!T113</f>
        <v>3.4725000000000001</v>
      </c>
    </row>
    <row r="5" spans="2:6" x14ac:dyDescent="0.3">
      <c r="B5" t="s">
        <v>12</v>
      </c>
      <c r="C5" s="33"/>
      <c r="D5" s="33"/>
      <c r="E5" s="33">
        <f>'Makro analyse'!K114</f>
        <v>3.5279999999999996</v>
      </c>
      <c r="F5">
        <f>'Makro analyse'!T114</f>
        <v>4.2504</v>
      </c>
    </row>
    <row r="6" spans="2:6" x14ac:dyDescent="0.3">
      <c r="B6" t="s">
        <v>13</v>
      </c>
      <c r="C6" s="33"/>
      <c r="D6" s="33"/>
      <c r="E6" s="33">
        <f>'Makro analyse'!K115</f>
        <v>3.3613000000000004</v>
      </c>
      <c r="F6">
        <f>'Makro analyse'!T115</f>
        <v>3.4725000000000001</v>
      </c>
    </row>
    <row r="7" spans="2:6" x14ac:dyDescent="0.3">
      <c r="B7" t="s">
        <v>14</v>
      </c>
      <c r="C7" s="33"/>
      <c r="D7" s="33"/>
      <c r="E7" s="33">
        <f>'Makro analyse'!K116</f>
        <v>2.7502999999999997</v>
      </c>
      <c r="F7">
        <f>'Makro analyse'!T116</f>
        <v>2.0834999999999999</v>
      </c>
    </row>
    <row r="8" spans="2:6" x14ac:dyDescent="0.3">
      <c r="B8" t="s">
        <v>15</v>
      </c>
      <c r="C8" s="33"/>
      <c r="D8" s="33"/>
      <c r="E8" s="33">
        <f>'Makro analyse'!K117</f>
        <v>3.0559999999999996</v>
      </c>
      <c r="F8">
        <f>'Makro analyse'!T117</f>
        <v>2.3336000000000001</v>
      </c>
    </row>
    <row r="9" spans="2:6" x14ac:dyDescent="0.3">
      <c r="B9" t="s">
        <v>16</v>
      </c>
      <c r="C9" s="33"/>
      <c r="D9" s="33"/>
      <c r="E9" s="33">
        <f>'Makro analyse'!K118</f>
        <v>2.8891999999999998</v>
      </c>
      <c r="F9">
        <f>'Makro analyse'!T118</f>
        <v>2.8891999999999998</v>
      </c>
    </row>
    <row r="10" spans="2:6" x14ac:dyDescent="0.3">
      <c r="B10" t="s">
        <v>17</v>
      </c>
      <c r="C10" s="33"/>
      <c r="D10" s="33"/>
      <c r="E10" s="33">
        <f>'Makro analyse'!K119</f>
        <v>3.9450000000000003</v>
      </c>
      <c r="F10">
        <f>'Makro analyse'!T119</f>
        <v>3.2225999999999999</v>
      </c>
    </row>
    <row r="11" spans="2:6" x14ac:dyDescent="0.3">
      <c r="B11" t="s">
        <v>18</v>
      </c>
      <c r="C11" s="33"/>
      <c r="D11" s="33"/>
      <c r="E11" s="33">
        <f>'Makro analyse'!K120</f>
        <v>3.3613999999999997</v>
      </c>
      <c r="F11">
        <f>'Makro analyse'!T120</f>
        <v>3.7225999999999999</v>
      </c>
    </row>
    <row r="12" spans="2:6" x14ac:dyDescent="0.3">
      <c r="B12" t="s">
        <v>19</v>
      </c>
      <c r="C12" s="33"/>
      <c r="D12" s="33"/>
      <c r="E12" s="33">
        <f>'Makro analyse'!K121</f>
        <v>3.0559999999999996</v>
      </c>
      <c r="F12">
        <f>'Makro analyse'!T121</f>
        <v>2.3336000000000001</v>
      </c>
    </row>
    <row r="15" spans="2:6" ht="15" customHeight="1" thickBot="1" x14ac:dyDescent="0.35">
      <c r="B15" s="126" t="str">
        <f>E1</f>
        <v>Q1 2026</v>
      </c>
      <c r="C15" s="127"/>
      <c r="D15" s="127"/>
      <c r="E15" s="127"/>
      <c r="F15" s="128"/>
    </row>
    <row r="16" spans="2:6" x14ac:dyDescent="0.3">
      <c r="B16" s="29" t="s">
        <v>20</v>
      </c>
      <c r="C16" s="80" t="s">
        <v>7</v>
      </c>
      <c r="D16" s="80" t="s">
        <v>4</v>
      </c>
      <c r="E16" s="80" t="s">
        <v>5</v>
      </c>
      <c r="F16" s="80" t="s">
        <v>6</v>
      </c>
    </row>
    <row r="17" spans="2:6" x14ac:dyDescent="0.3">
      <c r="B17">
        <v>1</v>
      </c>
      <c r="C17" s="39" t="str">
        <f t="shared" ref="C17:C27" si="0">_xlfn.XLOOKUP(D17,$E$2:$E$12,$B$2:$B$12)</f>
        <v>Energy</v>
      </c>
      <c r="D17" s="81">
        <f>LARGE($E$2:$E$12,1)</f>
        <v>3.9450000000000003</v>
      </c>
      <c r="E17" s="39" t="str">
        <f>_xlfn.XLOOKUP(C17,'ETF - Liste'!E:E,'ETF - Liste'!B:B)</f>
        <v>SPDR MSCI World Energy</v>
      </c>
      <c r="F17" s="39" t="str">
        <f t="array" aca="1" ref="F17" ca="1">_xlfn.TEXTJOIN(", ",TRUE,IF(C17='Aktieliste USA'!F:F,'Aktieliste USA'!G:G,""))</f>
        <v>CVX, XOM</v>
      </c>
    </row>
    <row r="18" spans="2:6" x14ac:dyDescent="0.3">
      <c r="B18">
        <v>2</v>
      </c>
      <c r="C18" s="39" t="str">
        <f t="shared" si="0"/>
        <v>Information Technology</v>
      </c>
      <c r="D18" s="81">
        <f>LARGE($E$2:$E$12,2)</f>
        <v>3.5279999999999996</v>
      </c>
      <c r="E18" s="39" t="str">
        <f>_xlfn.XLOOKUP(C18,'ETF - Liste'!E:E,'ETF - Liste'!B:B)</f>
        <v>Invesco Nasdaq-100 UCITS</v>
      </c>
      <c r="F18" s="39" t="str">
        <f t="array" aca="1" ref="F18" ca="1">_xlfn.TEXTJOIN(", ",TRUE,IF(C18='Aktieliste USA'!F:F,'Aktieliste USA'!G:G,""))</f>
        <v>NVDA, ORCL, ADBE, INTC, CRM, INTU, AVGO, QCOM, AAPL, MSFT, TXN, CSCO</v>
      </c>
    </row>
    <row r="19" spans="2:6" x14ac:dyDescent="0.3">
      <c r="B19">
        <v>3</v>
      </c>
      <c r="C19" s="39" t="str">
        <f t="shared" si="0"/>
        <v>Communications Services</v>
      </c>
      <c r="D19" s="81">
        <f>LARGE($E$2:$E$12,3)</f>
        <v>3.3613999999999997</v>
      </c>
      <c r="E19" s="39" t="str">
        <f>_xlfn.XLOOKUP(C19,'ETF - Liste'!E:E,'ETF - Liste'!B:B)</f>
        <v>Lyxor STOXX Europe Comm. Services</v>
      </c>
      <c r="F19" s="39" t="str">
        <f t="array" aca="1" ref="F19" ca="1">_xlfn.TEXTJOIN(", ",TRUE,IF(C19='Aktieliste USA'!F:F,'Aktieliste USA'!G:G,""))</f>
        <v/>
      </c>
    </row>
    <row r="20" spans="2:6" x14ac:dyDescent="0.3">
      <c r="B20">
        <v>4</v>
      </c>
      <c r="C20" s="39" t="str">
        <f t="shared" si="0"/>
        <v>Industrials</v>
      </c>
      <c r="D20" s="81">
        <f>LARGE($E$2:$E$12,4)</f>
        <v>3.3613000000000004</v>
      </c>
      <c r="E20" s="39" t="str">
        <f>_xlfn.XLOOKUP(C20,'ETF - Liste'!E:E,'ETF - Liste'!B:B)</f>
        <v>iShares MSCI World Industrials</v>
      </c>
      <c r="F20" s="39" t="str">
        <f t="array" aca="1" ref="F20" ca="1">_xlfn.TEXTJOIN(", ",TRUE,IF(C20='Aktieliste USA'!F:F,'Aktieliste USA'!G:G,""))</f>
        <v>CAT, GE, MMM, RTX</v>
      </c>
    </row>
    <row r="21" spans="2:6" x14ac:dyDescent="0.3">
      <c r="B21">
        <v>5</v>
      </c>
      <c r="C21" s="39" t="str">
        <f t="shared" si="0"/>
        <v>Financials</v>
      </c>
      <c r="D21" s="81">
        <f>LARGE($E$2:$E$12,5)</f>
        <v>3.2502000000000004</v>
      </c>
      <c r="E21" s="39" t="str">
        <f>_xlfn.XLOOKUP(C21,'ETF - Liste'!E:E,'ETF - Liste'!B:B)</f>
        <v>iShares MSCI World Financials</v>
      </c>
      <c r="F21" s="39" t="str">
        <f t="array" aca="1" ref="F21" ca="1">_xlfn.TEXTJOIN(", ",TRUE,IF(C21='Aktieliste USA'!F:F,'Aktieliste USA'!G:G,""))</f>
        <v>BAC, AXP, WFC, JPM, MA, V, BRK.B</v>
      </c>
    </row>
    <row r="22" spans="2:6" x14ac:dyDescent="0.3">
      <c r="B22">
        <v>6</v>
      </c>
      <c r="C22" s="39" t="str">
        <f t="shared" si="0"/>
        <v>Real Estate</v>
      </c>
      <c r="D22" s="81">
        <f>LARGE($E$2:$E$12,6)</f>
        <v>3.1669999999999998</v>
      </c>
      <c r="E22" s="39" t="str">
        <f>_xlfn.XLOOKUP(C22,'ETF - Liste'!E:E,'ETF - Liste'!B:B)</f>
        <v>SPDR Dow Jones Global Real Estate</v>
      </c>
      <c r="F22" s="39" t="str">
        <f t="array" aca="1" ref="F22" ca="1">_xlfn.TEXTJOIN(", ",TRUE,IF(C22='Aktieliste USA'!F:F,'Aktieliste USA'!G:G,""))</f>
        <v>WELL</v>
      </c>
    </row>
    <row r="23" spans="2:6" x14ac:dyDescent="0.3">
      <c r="B23">
        <v>7</v>
      </c>
      <c r="C23" s="39" t="str">
        <f t="shared" si="0"/>
        <v>Consumer Staples</v>
      </c>
      <c r="D23" s="81">
        <f>LARGE($E$2:$E$12,7)</f>
        <v>3.0559999999999996</v>
      </c>
      <c r="E23" s="39" t="str">
        <f>_xlfn.XLOOKUP(C23,'ETF - Liste'!E:E,'ETF - Liste'!B:B)</f>
        <v>iShares MSCI Consumer Staples</v>
      </c>
      <c r="F23" s="39" t="str">
        <f t="array" aca="1" ref="F23" ca="1">_xlfn.TEXTJOIN(", ",TRUE,IF(C23='Aktieliste USA'!F:F,'Aktieliste USA'!G:G,""))</f>
        <v>COST, WMT, PEP, KO</v>
      </c>
    </row>
    <row r="24" spans="2:6" x14ac:dyDescent="0.3">
      <c r="B24">
        <v>8</v>
      </c>
      <c r="C24" s="39" t="str">
        <f t="shared" si="0"/>
        <v>Consumer Staples</v>
      </c>
      <c r="D24" s="81">
        <f>LARGE($E$2:$E$12,8)</f>
        <v>3.0559999999999996</v>
      </c>
      <c r="E24" s="39" t="str">
        <f>_xlfn.XLOOKUP(C24,'ETF - Liste'!E:E,'ETF - Liste'!B:B)</f>
        <v>iShares MSCI Consumer Staples</v>
      </c>
      <c r="F24" s="39" t="str">
        <f t="array" aca="1" ref="F24" ca="1">_xlfn.TEXTJOIN(", ",TRUE,IF(C24='Aktieliste USA'!F:F,'Aktieliste USA'!G:G,""))</f>
        <v>COST, WMT, PEP, KO</v>
      </c>
    </row>
    <row r="25" spans="2:6" x14ac:dyDescent="0.3">
      <c r="B25">
        <v>9</v>
      </c>
      <c r="C25" s="39" t="str">
        <f t="shared" si="0"/>
        <v>Health Care</v>
      </c>
      <c r="D25" s="81">
        <f>LARGE($E$2:$E$12,9)</f>
        <v>2.8891999999999998</v>
      </c>
      <c r="E25" s="39" t="str">
        <f>_xlfn.XLOOKUP(C25,'ETF - Liste'!E:E,'ETF - Liste'!B:B)</f>
        <v>iShares Global Healthcare ETF</v>
      </c>
      <c r="F25" s="39" t="str">
        <f t="array" aca="1" ref="F25" ca="1">_xlfn.TEXTJOIN(", ",TRUE,IF(C25='Aktieliste USA'!F:F,'Aktieliste USA'!G:G,""))</f>
        <v>ABT, AMGN, PFE, UNH, LLY, ABBV, MRK</v>
      </c>
    </row>
    <row r="26" spans="2:6" x14ac:dyDescent="0.3">
      <c r="B26">
        <v>10</v>
      </c>
      <c r="C26" s="39" t="str">
        <f t="shared" si="0"/>
        <v>Materials</v>
      </c>
      <c r="D26" s="81">
        <f>LARGE($E$2:$E$12,10)</f>
        <v>2.7502999999999997</v>
      </c>
      <c r="E26" s="39" t="str">
        <f>_xlfn.XLOOKUP(C26,'ETF - Liste'!E:E,'ETF - Liste'!B:B)</f>
        <v>Lyxor MSCI World Materials</v>
      </c>
      <c r="F26" s="39" t="str">
        <f t="array" aca="1" ref="F26" ca="1">_xlfn.TEXTJOIN(", ",TRUE,IF(C26='Aktieliste USA'!F:F,'Aktieliste USA'!G:G,""))</f>
        <v/>
      </c>
    </row>
    <row r="27" spans="2:6" x14ac:dyDescent="0.3">
      <c r="B27">
        <v>11</v>
      </c>
      <c r="C27" s="39" t="str">
        <f t="shared" si="0"/>
        <v>Consumer Discretionary</v>
      </c>
      <c r="D27" s="81">
        <f>LARGE($E$2:$E$12,11)</f>
        <v>2.7500999999999998</v>
      </c>
      <c r="E27" s="39" t="str">
        <f>_xlfn.XLOOKUP(C27,'ETF - Liste'!E:E,'ETF - Liste'!B:B)</f>
        <v>iShares Global Consumer Discretionary</v>
      </c>
      <c r="F27" s="39" t="str">
        <f t="array" aca="1" ref="F27" ca="1">_xlfn.TEXTJOIN(", ",TRUE,IF(C27='Aktieliste USA'!F:F,'Aktieliste USA'!G:G,""))</f>
        <v>TSLA, AMZN, NKE, HD, SBUX, MCD</v>
      </c>
    </row>
    <row r="31" spans="2:6" ht="15" thickBot="1" x14ac:dyDescent="0.35">
      <c r="B31" s="126" t="str">
        <f>F1</f>
        <v>Q2 2026</v>
      </c>
      <c r="C31" s="127"/>
      <c r="D31" s="127"/>
      <c r="E31" s="127"/>
      <c r="F31" s="128"/>
    </row>
    <row r="32" spans="2:6" x14ac:dyDescent="0.3">
      <c r="B32" s="29" t="s">
        <v>20</v>
      </c>
      <c r="C32" s="80" t="s">
        <v>7</v>
      </c>
      <c r="D32" s="80" t="s">
        <v>4</v>
      </c>
      <c r="E32" s="80" t="s">
        <v>5</v>
      </c>
      <c r="F32" s="80" t="s">
        <v>6</v>
      </c>
    </row>
    <row r="33" spans="2:6" x14ac:dyDescent="0.3">
      <c r="B33">
        <v>1</v>
      </c>
      <c r="C33" s="39" t="str">
        <f>_xlfn.XLOOKUP(D33,$F$2:$F$12,$B$2:$B$12)</f>
        <v>Information Technology</v>
      </c>
      <c r="D33" s="81">
        <f>LARGE($F$2:$F$12,1)</f>
        <v>4.2504</v>
      </c>
      <c r="E33" s="39" t="str">
        <f>_xlfn.XLOOKUP(C33,'ETF - Liste'!E:E,'ETF - Liste'!B:B)</f>
        <v>Invesco Nasdaq-100 UCITS</v>
      </c>
      <c r="F33" s="39" t="str">
        <f t="array" aca="1" ref="F33" ca="1">_xlfn.TEXTJOIN(", ",TRUE,IF(C33='Aktieliste USA'!F:F,'Aktieliste USA'!G:G,""))</f>
        <v>NVDA, ORCL, ADBE, INTC, CRM, INTU, AVGO, QCOM, AAPL, MSFT, TXN, CSCO</v>
      </c>
    </row>
    <row r="34" spans="2:6" x14ac:dyDescent="0.3">
      <c r="B34">
        <v>2</v>
      </c>
      <c r="C34" s="39" t="str">
        <f t="shared" ref="C34:C43" si="1">_xlfn.XLOOKUP(D34,$F$2:$F$12,$B$2:$B$12)</f>
        <v>Communications Services</v>
      </c>
      <c r="D34" s="81">
        <f>LARGE($F$2:$F$12,2)</f>
        <v>3.7225999999999999</v>
      </c>
      <c r="E34" s="39" t="str">
        <f>_xlfn.XLOOKUP(C34,'ETF - Liste'!E:E,'ETF - Liste'!B:B)</f>
        <v>Lyxor STOXX Europe Comm. Services</v>
      </c>
      <c r="F34" s="39" t="str">
        <f t="array" aca="1" ref="F34" ca="1">_xlfn.TEXTJOIN(", ",TRUE,IF(C34='Aktieliste USA'!F:F,'Aktieliste USA'!G:G,""))</f>
        <v/>
      </c>
    </row>
    <row r="35" spans="2:6" x14ac:dyDescent="0.3">
      <c r="B35">
        <v>3</v>
      </c>
      <c r="C35" s="39" t="str">
        <f t="shared" si="1"/>
        <v>Consumer Discretionary</v>
      </c>
      <c r="D35" s="81">
        <f>LARGE($F$2:$F$12,3)</f>
        <v>3.4725000000000001</v>
      </c>
      <c r="E35" s="39" t="str">
        <f>_xlfn.XLOOKUP(C35,'ETF - Liste'!E:E,'ETF - Liste'!B:B)</f>
        <v>iShares Global Consumer Discretionary</v>
      </c>
      <c r="F35" s="39" t="str">
        <f t="array" aca="1" ref="F35" ca="1">_xlfn.TEXTJOIN(", ",TRUE,IF(C35='Aktieliste USA'!F:F,'Aktieliste USA'!G:G,""))</f>
        <v>TSLA, AMZN, NKE, HD, SBUX, MCD</v>
      </c>
    </row>
    <row r="36" spans="2:6" x14ac:dyDescent="0.3">
      <c r="B36">
        <v>4</v>
      </c>
      <c r="C36" s="39" t="str">
        <f t="shared" si="1"/>
        <v>Consumer Discretionary</v>
      </c>
      <c r="D36" s="81">
        <f>LARGE($F$2:$F$12,4)</f>
        <v>3.4725000000000001</v>
      </c>
      <c r="E36" s="39" t="str">
        <f>_xlfn.XLOOKUP(C36,'ETF - Liste'!E:E,'ETF - Liste'!B:B)</f>
        <v>iShares Global Consumer Discretionary</v>
      </c>
      <c r="F36" s="39" t="str">
        <f t="array" aca="1" ref="F36" ca="1">_xlfn.TEXTJOIN(", ",TRUE,IF(C36='Aktieliste USA'!F:F,'Aktieliste USA'!G:G,""))</f>
        <v>TSLA, AMZN, NKE, HD, SBUX, MCD</v>
      </c>
    </row>
    <row r="37" spans="2:6" x14ac:dyDescent="0.3">
      <c r="B37">
        <v>5</v>
      </c>
      <c r="C37" s="39" t="str">
        <f t="shared" si="1"/>
        <v>Financials</v>
      </c>
      <c r="D37" s="81">
        <f>LARGE($F$2:$F$12,5)</f>
        <v>3.3614000000000002</v>
      </c>
      <c r="E37" s="39" t="str">
        <f>_xlfn.XLOOKUP(C37,'ETF - Liste'!E:E,'ETF - Liste'!B:B)</f>
        <v>iShares MSCI World Financials</v>
      </c>
      <c r="F37" s="39" t="str">
        <f t="array" aca="1" ref="F37" ca="1">_xlfn.TEXTJOIN(", ",TRUE,IF(C37='Aktieliste USA'!F:F,'Aktieliste USA'!G:G,""))</f>
        <v>BAC, AXP, WFC, JPM, MA, V, BRK.B</v>
      </c>
    </row>
    <row r="38" spans="2:6" x14ac:dyDescent="0.3">
      <c r="B38">
        <v>6</v>
      </c>
      <c r="C38" s="39" t="str">
        <f t="shared" si="1"/>
        <v>Energy</v>
      </c>
      <c r="D38" s="81">
        <f>LARGE($F$2:$F$12,6)</f>
        <v>3.2225999999999999</v>
      </c>
      <c r="E38" s="39" t="str">
        <f>_xlfn.XLOOKUP(C38,'ETF - Liste'!E:E,'ETF - Liste'!B:B)</f>
        <v>SPDR MSCI World Energy</v>
      </c>
      <c r="F38" s="39" t="str">
        <f t="array" aca="1" ref="F38" ca="1">_xlfn.TEXTJOIN(", ",TRUE,IF(C38='Aktieliste USA'!F:F,'Aktieliste USA'!G:G,""))</f>
        <v>CVX, XOM</v>
      </c>
    </row>
    <row r="39" spans="2:6" x14ac:dyDescent="0.3">
      <c r="B39">
        <v>7</v>
      </c>
      <c r="C39" s="39" t="str">
        <f t="shared" si="1"/>
        <v>Health Care</v>
      </c>
      <c r="D39" s="81">
        <f>LARGE($F$2:$F$12,7)</f>
        <v>2.8891999999999998</v>
      </c>
      <c r="E39" s="39" t="str">
        <f>_xlfn.XLOOKUP(C39,'ETF - Liste'!E:E,'ETF - Liste'!B:B)</f>
        <v>iShares Global Healthcare ETF</v>
      </c>
      <c r="F39" s="39" t="str">
        <f t="array" aca="1" ref="F39" ca="1">_xlfn.TEXTJOIN(", ",TRUE,IF(C39='Aktieliste USA'!F:F,'Aktieliste USA'!G:G,""))</f>
        <v>ABT, AMGN, PFE, UNH, LLY, ABBV, MRK</v>
      </c>
    </row>
    <row r="40" spans="2:6" x14ac:dyDescent="0.3">
      <c r="B40">
        <v>8</v>
      </c>
      <c r="C40" s="39" t="str">
        <f t="shared" si="1"/>
        <v>Real Estate</v>
      </c>
      <c r="D40" s="81">
        <f>LARGE($F$2:$F$12,8)</f>
        <v>2.5002</v>
      </c>
      <c r="E40" s="39" t="str">
        <f>_xlfn.XLOOKUP(C40,'ETF - Liste'!E:E,'ETF - Liste'!B:B)</f>
        <v>SPDR Dow Jones Global Real Estate</v>
      </c>
      <c r="F40" s="39" t="str">
        <f t="array" aca="1" ref="F40" ca="1">_xlfn.TEXTJOIN(", ",TRUE,IF(C40='Aktieliste USA'!F:F,'Aktieliste USA'!G:G,""))</f>
        <v>WELL</v>
      </c>
    </row>
    <row r="41" spans="2:6" x14ac:dyDescent="0.3">
      <c r="B41">
        <v>9</v>
      </c>
      <c r="C41" s="39" t="str">
        <f t="shared" si="1"/>
        <v>Consumer Staples</v>
      </c>
      <c r="D41" s="81">
        <f>LARGE($F$2:$F$12,9)</f>
        <v>2.3336000000000001</v>
      </c>
      <c r="E41" s="39" t="str">
        <f>_xlfn.XLOOKUP(C41,'ETF - Liste'!E:E,'ETF - Liste'!B:B)</f>
        <v>iShares MSCI Consumer Staples</v>
      </c>
      <c r="F41" s="39" t="str">
        <f t="array" aca="1" ref="F41" ca="1">_xlfn.TEXTJOIN(", ",TRUE,IF(C41='Aktieliste USA'!F:F,'Aktieliste USA'!G:G,""))</f>
        <v>COST, WMT, PEP, KO</v>
      </c>
    </row>
    <row r="42" spans="2:6" x14ac:dyDescent="0.3">
      <c r="B42">
        <v>10</v>
      </c>
      <c r="C42" s="39" t="str">
        <f t="shared" si="1"/>
        <v>Consumer Staples</v>
      </c>
      <c r="D42" s="81">
        <f>LARGE($F$2:$F$12,10)</f>
        <v>2.3336000000000001</v>
      </c>
      <c r="E42" s="39" t="str">
        <f>_xlfn.XLOOKUP(C42,'ETF - Liste'!E:E,'ETF - Liste'!B:B)</f>
        <v>iShares MSCI Consumer Staples</v>
      </c>
      <c r="F42" s="39" t="str">
        <f t="array" aca="1" ref="F42" ca="1">_xlfn.TEXTJOIN(", ",TRUE,IF(C42='Aktieliste USA'!F:F,'Aktieliste USA'!G:G,""))</f>
        <v>COST, WMT, PEP, KO</v>
      </c>
    </row>
    <row r="43" spans="2:6" x14ac:dyDescent="0.3">
      <c r="B43">
        <v>11</v>
      </c>
      <c r="C43" s="39" t="str">
        <f t="shared" si="1"/>
        <v>Materials</v>
      </c>
      <c r="D43" s="81">
        <f>LARGE($F$2:$F$12,11)</f>
        <v>2.0834999999999999</v>
      </c>
      <c r="E43" s="39" t="str">
        <f>_xlfn.XLOOKUP(C43,'ETF - Liste'!E:E,'ETF - Liste'!B:B)</f>
        <v>Lyxor MSCI World Materials</v>
      </c>
      <c r="F43" s="39" t="str">
        <f t="array" aca="1" ref="F43" ca="1">_xlfn.TEXTJOIN(", ",TRUE,IF(C43='Aktieliste USA'!F:F,'Aktieliste USA'!G:G,""))</f>
        <v/>
      </c>
    </row>
  </sheetData>
  <mergeCells count="2">
    <mergeCell ref="B15:F15"/>
    <mergeCell ref="B31:F31"/>
  </mergeCells>
  <conditionalFormatting sqref="D17:D27">
    <cfRule type="cellIs" dxfId="13" priority="7" operator="lessThan">
      <formula>3</formula>
    </cfRule>
    <cfRule type="cellIs" dxfId="12" priority="8" operator="between">
      <formula>3</formula>
      <formula>3.79</formula>
    </cfRule>
    <cfRule type="cellIs" dxfId="11" priority="9" operator="greaterThan">
      <formula>3.8</formula>
    </cfRule>
  </conditionalFormatting>
  <conditionalFormatting sqref="D33:D43">
    <cfRule type="cellIs" dxfId="10" priority="1" operator="lessThan">
      <formula>3</formula>
    </cfRule>
    <cfRule type="cellIs" dxfId="9" priority="2" operator="between">
      <formula>3</formula>
      <formula>3.79</formula>
    </cfRule>
    <cfRule type="cellIs" dxfId="8" priority="3" operator="greaterThan">
      <formula>3.8</formula>
    </cfRule>
  </conditionalFormatting>
  <pageMargins left="0.75" right="0.75" top="1" bottom="1" header="0.5" footer="0.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A1"/>
  <sheetViews>
    <sheetView workbookViewId="0">
      <selection activeCell="D19" sqref="D19"/>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B3:H47"/>
  <sheetViews>
    <sheetView showGridLines="0" zoomScaleNormal="100" workbookViewId="0">
      <selection activeCell="D19" sqref="D19"/>
    </sheetView>
  </sheetViews>
  <sheetFormatPr defaultRowHeight="14.4" x14ac:dyDescent="0.3"/>
  <cols>
    <col min="1" max="1" width="2.33203125" customWidth="1"/>
    <col min="2" max="3" width="25" customWidth="1"/>
    <col min="4" max="5" width="32.6640625" bestFit="1" customWidth="1"/>
  </cols>
  <sheetData>
    <row r="3" spans="2:8" x14ac:dyDescent="0.3">
      <c r="C3" s="67" t="s">
        <v>0</v>
      </c>
      <c r="D3" s="83">
        <v>50000</v>
      </c>
      <c r="E3" t="s">
        <v>1</v>
      </c>
    </row>
    <row r="5" spans="2:8" ht="15" customHeight="1" thickBot="1" x14ac:dyDescent="0.35"/>
    <row r="6" spans="2:8" ht="15" customHeight="1" thickBot="1" x14ac:dyDescent="0.35">
      <c r="B6" s="132" t="e">
        <f>Profiler!#REF!</f>
        <v>#REF!</v>
      </c>
      <c r="C6" s="130"/>
      <c r="D6" s="130"/>
      <c r="E6" s="131"/>
      <c r="H6" t="s">
        <v>2</v>
      </c>
    </row>
    <row r="7" spans="2:8" x14ac:dyDescent="0.3">
      <c r="B7" s="80" t="s">
        <v>3</v>
      </c>
      <c r="C7" s="80" t="s">
        <v>4</v>
      </c>
      <c r="D7" s="80" t="s">
        <v>5</v>
      </c>
      <c r="E7" s="80" t="s">
        <v>6</v>
      </c>
    </row>
    <row r="8" spans="2:8" x14ac:dyDescent="0.3">
      <c r="B8" s="39" t="e">
        <f>_xlfn.XLOOKUP(C8,#REF!,#REF!)</f>
        <v>#REF!</v>
      </c>
      <c r="C8" s="81" t="e">
        <f>LARGE(#REF!,1)</f>
        <v>#REF!</v>
      </c>
      <c r="D8" s="39" t="e">
        <f>_xlfn.XLOOKUP(B8,'ETF - Liste'!E:E,'ETF - Liste'!B:B)</f>
        <v>#REF!</v>
      </c>
      <c r="E8" s="39" t="str">
        <f>IFERROR(_xlfn.XLOOKUP(B8,'Aktieliste DK'!F:F,'Aktieliste DK'!H:H),"")</f>
        <v/>
      </c>
    </row>
    <row r="9" spans="2:8" x14ac:dyDescent="0.3">
      <c r="B9" s="39" t="e">
        <f>_xlfn.XLOOKUP(C9,C1:C1,B1:B1)</f>
        <v>#REF!</v>
      </c>
      <c r="C9" s="81" t="e">
        <f>LARGE(#REF!,2)</f>
        <v>#REF!</v>
      </c>
      <c r="D9" s="39" t="e">
        <f>_xlfn.XLOOKUP(B9,'ETF - Liste'!E:E,'ETF - Liste'!B:B)</f>
        <v>#REF!</v>
      </c>
      <c r="E9" s="39" t="str">
        <f>IFERROR(_xlfn.XLOOKUP(B9,'Aktieliste DK'!F:F,'Aktieliste DK'!H:H),"")</f>
        <v/>
      </c>
    </row>
    <row r="10" spans="2:8" x14ac:dyDescent="0.3">
      <c r="B10" s="39" t="e">
        <f>_xlfn.XLOOKUP(C10,#REF!,#REF!)</f>
        <v>#REF!</v>
      </c>
      <c r="C10" s="81" t="e">
        <f>LARGE(#REF!,3)</f>
        <v>#REF!</v>
      </c>
      <c r="D10" s="39" t="e">
        <f>_xlfn.XLOOKUP(B10,'ETF - Liste'!E:E,'ETF - Liste'!B:B)</f>
        <v>#REF!</v>
      </c>
      <c r="E10" s="39" t="str">
        <f>IFERROR(_xlfn.XLOOKUP(B10,'Aktieliste DK'!F:F,'Aktieliste DK'!H:H),"")</f>
        <v/>
      </c>
    </row>
    <row r="12" spans="2:8" ht="15" customHeight="1" thickBot="1" x14ac:dyDescent="0.35"/>
    <row r="13" spans="2:8" ht="15" customHeight="1" thickBot="1" x14ac:dyDescent="0.35">
      <c r="B13" s="133" t="str">
        <f>Profiler!A2</f>
        <v>Konservativ</v>
      </c>
      <c r="C13" s="130"/>
      <c r="D13" s="130"/>
      <c r="E13" s="131"/>
    </row>
    <row r="14" spans="2:8" x14ac:dyDescent="0.3">
      <c r="B14" s="80" t="s">
        <v>7</v>
      </c>
      <c r="C14" s="80" t="s">
        <v>4</v>
      </c>
      <c r="D14" s="80" t="s">
        <v>5</v>
      </c>
      <c r="E14" s="80" t="s">
        <v>6</v>
      </c>
    </row>
    <row r="15" spans="2:8" x14ac:dyDescent="0.3">
      <c r="B15" s="39" t="e">
        <f>_xlfn.XLOOKUP(C15,#REF!,#REF!)</f>
        <v>#REF!</v>
      </c>
      <c r="C15" s="81" t="e">
        <f>SMALL(#REF!,1)</f>
        <v>#REF!</v>
      </c>
      <c r="D15" s="39" t="e">
        <f>_xlfn.XLOOKUP(B15,'ETF - Liste'!E:E,'ETF - Liste'!B:B)</f>
        <v>#REF!</v>
      </c>
      <c r="E15" s="39" t="str">
        <f>IFERROR(_xlfn.XLOOKUP(B15,'Aktieliste DK'!F:F,'Aktieliste DK'!H:H),"")</f>
        <v/>
      </c>
    </row>
    <row r="16" spans="2:8" x14ac:dyDescent="0.3">
      <c r="B16" s="39" t="e">
        <f>_xlfn.XLOOKUP(C16,#REF!,#REF!)</f>
        <v>#REF!</v>
      </c>
      <c r="C16" s="81" t="e">
        <f>SMALL(#REF!,2)</f>
        <v>#REF!</v>
      </c>
      <c r="D16" s="39" t="e">
        <f>_xlfn.XLOOKUP(B16,'ETF - Liste'!E:E,'ETF - Liste'!B:B)</f>
        <v>#REF!</v>
      </c>
      <c r="E16" s="39" t="str">
        <f>IFERROR(_xlfn.XLOOKUP(B16,'Aktieliste DK'!F:F,'Aktieliste DK'!H:H),"")</f>
        <v/>
      </c>
    </row>
    <row r="17" spans="2:5" x14ac:dyDescent="0.3">
      <c r="B17" s="39" t="e">
        <f>_xlfn.XLOOKUP(C17,#REF!,#REF!)</f>
        <v>#REF!</v>
      </c>
      <c r="C17" s="81" t="e">
        <f>SMALL(#REF!,3)</f>
        <v>#REF!</v>
      </c>
      <c r="D17" s="39" t="e">
        <f>_xlfn.XLOOKUP(B17,'ETF - Liste'!E:E,'ETF - Liste'!B:B)</f>
        <v>#REF!</v>
      </c>
      <c r="E17" s="39" t="str">
        <f>IFERROR(_xlfn.XLOOKUP(B17,'Aktieliste DK'!F:F,'Aktieliste DK'!H:H),"")</f>
        <v/>
      </c>
    </row>
    <row r="20" spans="2:5" ht="15" customHeight="1" thickBot="1" x14ac:dyDescent="0.35"/>
    <row r="21" spans="2:5" ht="15" customHeight="1" thickBot="1" x14ac:dyDescent="0.35">
      <c r="B21" s="134" t="str">
        <f>Profiler!A3</f>
        <v>Balanceret</v>
      </c>
      <c r="C21" s="130"/>
      <c r="D21" s="130"/>
      <c r="E21" s="131"/>
    </row>
    <row r="22" spans="2:5" x14ac:dyDescent="0.3">
      <c r="B22" s="80" t="s">
        <v>7</v>
      </c>
      <c r="C22" s="80" t="s">
        <v>4</v>
      </c>
      <c r="D22" s="80" t="s">
        <v>5</v>
      </c>
      <c r="E22" s="80" t="s">
        <v>6</v>
      </c>
    </row>
    <row r="23" spans="2:5" x14ac:dyDescent="0.3">
      <c r="B23" s="39" t="e">
        <f>_xlfn.XLOOKUP(C23,#REF!,#REF!)</f>
        <v>#REF!</v>
      </c>
      <c r="C23" s="81" t="e">
        <f>SMALL(#REF!,1)</f>
        <v>#REF!</v>
      </c>
      <c r="D23" s="39" t="e">
        <f>_xlfn.XLOOKUP(B23,'ETF - Liste'!E:E,'ETF - Liste'!B:B)</f>
        <v>#REF!</v>
      </c>
      <c r="E23" s="39" t="str">
        <f>IFERROR(_xlfn.XLOOKUP(B23,'Aktieliste DK'!F:F,'Aktieliste DK'!H:H),"")</f>
        <v/>
      </c>
    </row>
    <row r="24" spans="2:5" x14ac:dyDescent="0.3">
      <c r="B24" s="39" t="e">
        <f>_xlfn.XLOOKUP(C24,#REF!,#REF!)</f>
        <v>#REF!</v>
      </c>
      <c r="C24" s="81" t="e">
        <f>SMALL(#REF!,2)</f>
        <v>#REF!</v>
      </c>
      <c r="D24" s="39" t="e">
        <f>_xlfn.XLOOKUP(B24,'ETF - Liste'!E:E,'ETF - Liste'!B:B)</f>
        <v>#REF!</v>
      </c>
      <c r="E24" s="39" t="str">
        <f>IFERROR(_xlfn.XLOOKUP(B24,'Aktieliste DK'!F:F,'Aktieliste DK'!H:H),"")</f>
        <v/>
      </c>
    </row>
    <row r="25" spans="2:5" x14ac:dyDescent="0.3">
      <c r="B25" s="39" t="e">
        <f>_xlfn.XLOOKUP(C25,#REF!,#REF!)</f>
        <v>#REF!</v>
      </c>
      <c r="C25" s="81" t="e">
        <f>SMALL(#REF!,3)</f>
        <v>#REF!</v>
      </c>
      <c r="D25" s="39" t="e">
        <f>_xlfn.XLOOKUP(B25,'ETF - Liste'!E:E,'ETF - Liste'!B:B)</f>
        <v>#REF!</v>
      </c>
      <c r="E25" s="39" t="str">
        <f>IFERROR(_xlfn.XLOOKUP(B25,'Aktieliste DK'!F:F,'Aktieliste DK'!H:H),"")</f>
        <v/>
      </c>
    </row>
    <row r="28" spans="2:5" ht="15" customHeight="1" thickBot="1" x14ac:dyDescent="0.35"/>
    <row r="29" spans="2:5" ht="15" customHeight="1" thickBot="1" x14ac:dyDescent="0.35">
      <c r="B29" s="135" t="str">
        <f>Profiler!A4</f>
        <v>Vækstorienteret</v>
      </c>
      <c r="C29" s="130"/>
      <c r="D29" s="130"/>
      <c r="E29" s="131"/>
    </row>
    <row r="30" spans="2:5" x14ac:dyDescent="0.3">
      <c r="B30" s="80" t="s">
        <v>7</v>
      </c>
      <c r="C30" s="80" t="s">
        <v>4</v>
      </c>
      <c r="D30" s="80" t="s">
        <v>5</v>
      </c>
      <c r="E30" s="80" t="s">
        <v>6</v>
      </c>
    </row>
    <row r="31" spans="2:5" x14ac:dyDescent="0.3">
      <c r="B31" s="39" t="e">
        <f>_xlfn.XLOOKUP(C31,#REF!,#REF!)</f>
        <v>#REF!</v>
      </c>
      <c r="C31" s="81" t="e">
        <f>SMALL(#REF!,1)</f>
        <v>#REF!</v>
      </c>
      <c r="D31" s="39" t="e">
        <f>_xlfn.XLOOKUP(B31,'ETF - Liste'!E:E,'ETF - Liste'!B:B)</f>
        <v>#REF!</v>
      </c>
      <c r="E31" s="39" t="str">
        <f>IFERROR(_xlfn.XLOOKUP(B31,'Aktieliste DK'!F:F,'Aktieliste DK'!H:H),"")</f>
        <v/>
      </c>
    </row>
    <row r="32" spans="2:5" x14ac:dyDescent="0.3">
      <c r="B32" s="39" t="e">
        <f>_xlfn.XLOOKUP(C32,#REF!,#REF!)</f>
        <v>#REF!</v>
      </c>
      <c r="C32" s="81" t="e">
        <f>SMALL(#REF!,2)</f>
        <v>#REF!</v>
      </c>
      <c r="D32" s="39" t="e">
        <f>_xlfn.XLOOKUP(B32,'ETF - Liste'!E:E,'ETF - Liste'!B:B)</f>
        <v>#REF!</v>
      </c>
      <c r="E32" s="39" t="str">
        <f>IFERROR(_xlfn.XLOOKUP(B32,'Aktieliste DK'!F:F,'Aktieliste DK'!H:H),"")</f>
        <v/>
      </c>
    </row>
    <row r="33" spans="2:5" x14ac:dyDescent="0.3">
      <c r="B33" s="39" t="e">
        <f>_xlfn.XLOOKUP(C33,#REF!,#REF!)</f>
        <v>#REF!</v>
      </c>
      <c r="C33" s="81" t="e">
        <f>SMALL(#REF!,3)</f>
        <v>#REF!</v>
      </c>
      <c r="D33" s="39" t="e">
        <f>_xlfn.XLOOKUP(B33,'ETF - Liste'!E:E,'ETF - Liste'!B:B)</f>
        <v>#REF!</v>
      </c>
      <c r="E33" s="39" t="str">
        <f>IFERROR(_xlfn.XLOOKUP(B33,'Aktieliste DK'!F:F,'Aktieliste DK'!H:H),"")</f>
        <v/>
      </c>
    </row>
    <row r="35" spans="2:5" ht="15" customHeight="1" thickBot="1" x14ac:dyDescent="0.35"/>
    <row r="36" spans="2:5" ht="15" customHeight="1" thickBot="1" x14ac:dyDescent="0.35">
      <c r="B36" s="136" t="str">
        <f>Profiler!A5</f>
        <v>Dynamisk</v>
      </c>
      <c r="C36" s="130"/>
      <c r="D36" s="130"/>
      <c r="E36" s="131"/>
    </row>
    <row r="37" spans="2:5" x14ac:dyDescent="0.3">
      <c r="B37" s="80" t="s">
        <v>7</v>
      </c>
      <c r="C37" s="80" t="s">
        <v>4</v>
      </c>
      <c r="D37" s="80" t="s">
        <v>5</v>
      </c>
      <c r="E37" s="80" t="s">
        <v>6</v>
      </c>
    </row>
    <row r="38" spans="2:5" x14ac:dyDescent="0.3">
      <c r="B38" s="39" t="e">
        <f>_xlfn.XLOOKUP(C38,#REF!,#REF!)</f>
        <v>#REF!</v>
      </c>
      <c r="C38" s="81" t="e">
        <f>SMALL(#REF!,1)</f>
        <v>#REF!</v>
      </c>
      <c r="D38" s="39" t="e">
        <f>_xlfn.XLOOKUP(B38,'ETF - Liste'!E:E,'ETF - Liste'!B:B)</f>
        <v>#REF!</v>
      </c>
      <c r="E38" s="39" t="str">
        <f>IFERROR(_xlfn.XLOOKUP(B38,'Aktieliste DK'!F:F,'Aktieliste DK'!H:H),"")</f>
        <v/>
      </c>
    </row>
    <row r="39" spans="2:5" x14ac:dyDescent="0.3">
      <c r="B39" s="39" t="e">
        <f>_xlfn.XLOOKUP(C39,#REF!,#REF!)</f>
        <v>#REF!</v>
      </c>
      <c r="C39" s="81" t="e">
        <f>SMALL(#REF!,2)</f>
        <v>#REF!</v>
      </c>
      <c r="D39" s="39" t="e">
        <f>_xlfn.XLOOKUP(B39,'ETF - Liste'!E:E,'ETF - Liste'!B:B)</f>
        <v>#REF!</v>
      </c>
      <c r="E39" s="39" t="str">
        <f>IFERROR(_xlfn.XLOOKUP(B39,'Aktieliste DK'!F:F,'Aktieliste DK'!H:H),"")</f>
        <v/>
      </c>
    </row>
    <row r="40" spans="2:5" x14ac:dyDescent="0.3">
      <c r="B40" s="39" t="e">
        <f>_xlfn.XLOOKUP(C40,#REF!,#REF!)</f>
        <v>#REF!</v>
      </c>
      <c r="C40" s="81" t="e">
        <f>SMALL(#REF!,3)</f>
        <v>#REF!</v>
      </c>
      <c r="D40" s="39" t="e">
        <f>_xlfn.XLOOKUP(B40,'ETF - Liste'!E:E,'ETF - Liste'!B:B)</f>
        <v>#REF!</v>
      </c>
      <c r="E40" s="39" t="str">
        <f>IFERROR(_xlfn.XLOOKUP(B40,'Aktieliste DK'!F:F,'Aktieliste DK'!H:H),"")</f>
        <v/>
      </c>
    </row>
    <row r="42" spans="2:5" ht="15" customHeight="1" thickBot="1" x14ac:dyDescent="0.35"/>
    <row r="43" spans="2:5" ht="15" customHeight="1" thickBot="1" x14ac:dyDescent="0.35">
      <c r="B43" s="129" t="e">
        <f>Profiler!#REF!</f>
        <v>#REF!</v>
      </c>
      <c r="C43" s="130"/>
      <c r="D43" s="130"/>
      <c r="E43" s="131"/>
    </row>
    <row r="44" spans="2:5" x14ac:dyDescent="0.3">
      <c r="B44" s="80" t="s">
        <v>7</v>
      </c>
      <c r="C44" s="80" t="s">
        <v>4</v>
      </c>
      <c r="D44" s="80" t="s">
        <v>5</v>
      </c>
      <c r="E44" s="80" t="s">
        <v>6</v>
      </c>
    </row>
    <row r="45" spans="2:5" x14ac:dyDescent="0.3">
      <c r="B45" s="39" t="e">
        <f>_xlfn.XLOOKUP(C45,#REF!,#REF!)</f>
        <v>#REF!</v>
      </c>
      <c r="C45" s="81" t="e">
        <f>SMALL(#REF!,1)</f>
        <v>#REF!</v>
      </c>
      <c r="D45" s="39" t="e">
        <f>_xlfn.XLOOKUP(B45,'ETF - Liste'!E:E,'ETF - Liste'!B:B)</f>
        <v>#REF!</v>
      </c>
      <c r="E45" s="39" t="str">
        <f>IFERROR(_xlfn.XLOOKUP(B45,'Aktieliste DK'!F:F,'Aktieliste DK'!H:H),"")</f>
        <v/>
      </c>
    </row>
    <row r="46" spans="2:5" x14ac:dyDescent="0.3">
      <c r="B46" s="39" t="e">
        <f>_xlfn.XLOOKUP(C46,#REF!,#REF!)</f>
        <v>#REF!</v>
      </c>
      <c r="C46" s="81" t="e">
        <f>SMALL(#REF!,2)</f>
        <v>#REF!</v>
      </c>
      <c r="D46" s="39" t="e">
        <f>_xlfn.XLOOKUP(B46,'ETF - Liste'!E:E,'ETF - Liste'!B:B)</f>
        <v>#REF!</v>
      </c>
      <c r="E46" s="39" t="str">
        <f>IFERROR(_xlfn.XLOOKUP(B46,'Aktieliste DK'!F:F,'Aktieliste DK'!H:H),"")</f>
        <v/>
      </c>
    </row>
    <row r="47" spans="2:5" x14ac:dyDescent="0.3">
      <c r="B47" s="39" t="e">
        <f>_xlfn.XLOOKUP(C47,#REF!,#REF!)</f>
        <v>#REF!</v>
      </c>
      <c r="C47" s="81" t="e">
        <f>SMALL(#REF!,3)</f>
        <v>#REF!</v>
      </c>
      <c r="D47" s="39" t="e">
        <f>_xlfn.XLOOKUP(B47,'ETF - Liste'!E:E,'ETF - Liste'!B:B)</f>
        <v>#REF!</v>
      </c>
      <c r="E47" s="39" t="str">
        <f>IFERROR(_xlfn.XLOOKUP(B47,'Aktieliste DK'!F:F,'Aktieliste DK'!H:H),"")</f>
        <v/>
      </c>
    </row>
  </sheetData>
  <mergeCells count="6">
    <mergeCell ref="B43:E43"/>
    <mergeCell ref="B6:E6"/>
    <mergeCell ref="B13:E13"/>
    <mergeCell ref="B21:E21"/>
    <mergeCell ref="B29:E29"/>
    <mergeCell ref="B36:E36"/>
  </mergeCells>
  <pageMargins left="0.75" right="0.75" top="1" bottom="1" header="0.5" footer="0.5"/>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J9"/>
  <sheetViews>
    <sheetView workbookViewId="0">
      <selection activeCell="D19" sqref="D19"/>
    </sheetView>
  </sheetViews>
  <sheetFormatPr defaultRowHeight="14.4" x14ac:dyDescent="0.3"/>
  <cols>
    <col min="1" max="1" width="54.5546875" bestFit="1" customWidth="1"/>
    <col min="2" max="2" width="14.33203125" bestFit="1" customWidth="1"/>
    <col min="3" max="3" width="9.6640625" bestFit="1" customWidth="1"/>
    <col min="4" max="4" width="9.44140625" bestFit="1" customWidth="1"/>
    <col min="5" max="5" width="10.33203125" bestFit="1" customWidth="1"/>
    <col min="6" max="9" width="7.109375" bestFit="1" customWidth="1"/>
    <col min="10" max="10" width="24" bestFit="1" customWidth="1"/>
  </cols>
  <sheetData>
    <row r="1" spans="1:10" x14ac:dyDescent="0.3">
      <c r="A1" s="41" t="s">
        <v>21</v>
      </c>
      <c r="B1" s="41" t="s">
        <v>22</v>
      </c>
      <c r="C1" s="41" t="s">
        <v>23</v>
      </c>
      <c r="D1" s="41" t="s">
        <v>24</v>
      </c>
      <c r="E1" s="41" t="s">
        <v>25</v>
      </c>
      <c r="F1" s="41" t="s">
        <v>26</v>
      </c>
      <c r="G1" s="41" t="s">
        <v>27</v>
      </c>
      <c r="H1" s="41" t="s">
        <v>28</v>
      </c>
      <c r="I1" s="41" t="s">
        <v>29</v>
      </c>
      <c r="J1" s="41" t="s">
        <v>30</v>
      </c>
    </row>
    <row r="2" spans="1:10" x14ac:dyDescent="0.3">
      <c r="A2" t="s">
        <v>31</v>
      </c>
      <c r="B2" t="s">
        <v>32</v>
      </c>
      <c r="C2" t="s">
        <v>33</v>
      </c>
      <c r="D2" t="s">
        <v>34</v>
      </c>
      <c r="E2" t="s">
        <v>35</v>
      </c>
      <c r="F2">
        <v>1</v>
      </c>
      <c r="G2">
        <v>2</v>
      </c>
      <c r="H2">
        <v>3</v>
      </c>
      <c r="I2">
        <v>5</v>
      </c>
    </row>
    <row r="3" spans="1:10" x14ac:dyDescent="0.3">
      <c r="A3" t="s">
        <v>36</v>
      </c>
      <c r="B3" t="s">
        <v>37</v>
      </c>
      <c r="C3" t="s">
        <v>38</v>
      </c>
      <c r="D3" t="s">
        <v>39</v>
      </c>
      <c r="E3" t="s">
        <v>40</v>
      </c>
      <c r="F3">
        <v>1</v>
      </c>
      <c r="G3">
        <v>2</v>
      </c>
      <c r="H3">
        <v>3</v>
      </c>
      <c r="I3">
        <v>5</v>
      </c>
    </row>
    <row r="4" spans="1:10" x14ac:dyDescent="0.3">
      <c r="A4" t="s">
        <v>41</v>
      </c>
      <c r="B4" t="s">
        <v>42</v>
      </c>
      <c r="C4" t="s">
        <v>43</v>
      </c>
      <c r="D4" t="s">
        <v>44</v>
      </c>
      <c r="E4" t="s">
        <v>45</v>
      </c>
      <c r="F4">
        <v>1</v>
      </c>
      <c r="G4">
        <v>2</v>
      </c>
      <c r="H4">
        <v>3</v>
      </c>
      <c r="I4">
        <v>5</v>
      </c>
    </row>
    <row r="5" spans="1:10" x14ac:dyDescent="0.3">
      <c r="A5" t="s">
        <v>46</v>
      </c>
      <c r="B5" t="s">
        <v>47</v>
      </c>
      <c r="C5" t="s">
        <v>48</v>
      </c>
      <c r="E5" t="s">
        <v>49</v>
      </c>
      <c r="F5">
        <v>1</v>
      </c>
      <c r="G5">
        <v>2</v>
      </c>
      <c r="H5">
        <v>3</v>
      </c>
      <c r="I5">
        <v>5</v>
      </c>
    </row>
    <row r="6" spans="1:10" x14ac:dyDescent="0.3">
      <c r="A6" t="s">
        <v>50</v>
      </c>
      <c r="B6" t="s">
        <v>51</v>
      </c>
      <c r="C6" t="s">
        <v>52</v>
      </c>
      <c r="D6" t="s">
        <v>53</v>
      </c>
      <c r="E6" t="s">
        <v>54</v>
      </c>
      <c r="F6">
        <v>1</v>
      </c>
      <c r="G6">
        <v>2</v>
      </c>
      <c r="H6">
        <v>3</v>
      </c>
      <c r="I6">
        <v>5</v>
      </c>
    </row>
    <row r="7" spans="1:10" x14ac:dyDescent="0.3">
      <c r="A7" t="s">
        <v>55</v>
      </c>
      <c r="B7" t="s">
        <v>56</v>
      </c>
      <c r="C7" t="s">
        <v>57</v>
      </c>
      <c r="E7" t="s">
        <v>58</v>
      </c>
      <c r="F7">
        <v>1</v>
      </c>
      <c r="G7">
        <v>2</v>
      </c>
      <c r="H7">
        <v>3</v>
      </c>
      <c r="I7">
        <v>5</v>
      </c>
    </row>
    <row r="8" spans="1:10" x14ac:dyDescent="0.3">
      <c r="A8" t="s">
        <v>59</v>
      </c>
      <c r="B8" t="s">
        <v>60</v>
      </c>
      <c r="C8" t="s">
        <v>61</v>
      </c>
      <c r="D8" t="s">
        <v>62</v>
      </c>
      <c r="E8" t="s">
        <v>63</v>
      </c>
      <c r="F8">
        <v>1</v>
      </c>
      <c r="G8">
        <v>2</v>
      </c>
      <c r="H8">
        <v>3</v>
      </c>
      <c r="I8">
        <v>5</v>
      </c>
    </row>
    <row r="9" spans="1:10" x14ac:dyDescent="0.3">
      <c r="A9" t="s">
        <v>64</v>
      </c>
      <c r="B9" t="s">
        <v>65</v>
      </c>
      <c r="C9" t="s">
        <v>66</v>
      </c>
      <c r="D9" t="s">
        <v>67</v>
      </c>
      <c r="E9" t="s">
        <v>68</v>
      </c>
      <c r="F9">
        <v>1</v>
      </c>
      <c r="G9">
        <v>2</v>
      </c>
      <c r="H9">
        <v>3</v>
      </c>
      <c r="I9">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F5"/>
  <sheetViews>
    <sheetView workbookViewId="0">
      <selection activeCell="D19" sqref="D19"/>
    </sheetView>
  </sheetViews>
  <sheetFormatPr defaultRowHeight="14.4" x14ac:dyDescent="0.3"/>
  <cols>
    <col min="1" max="1" width="14.33203125" bestFit="1" customWidth="1"/>
    <col min="2" max="2" width="16.44140625" bestFit="1" customWidth="1"/>
    <col min="3" max="3" width="16" bestFit="1" customWidth="1"/>
    <col min="4" max="4" width="66.109375" bestFit="1" customWidth="1"/>
    <col min="5" max="5" width="46.109375" bestFit="1" customWidth="1"/>
    <col min="6" max="6" width="21.6640625" bestFit="1" customWidth="1"/>
  </cols>
  <sheetData>
    <row r="1" spans="1:6" x14ac:dyDescent="0.3">
      <c r="A1" s="41" t="s">
        <v>69</v>
      </c>
      <c r="B1" s="41" t="s">
        <v>70</v>
      </c>
      <c r="C1" s="41" t="s">
        <v>71</v>
      </c>
      <c r="D1" s="41" t="s">
        <v>72</v>
      </c>
      <c r="E1" s="41" t="s">
        <v>73</v>
      </c>
      <c r="F1" s="41" t="s">
        <v>74</v>
      </c>
    </row>
    <row r="2" spans="1:6" x14ac:dyDescent="0.3">
      <c r="A2" t="s">
        <v>75</v>
      </c>
      <c r="B2">
        <v>0.3</v>
      </c>
      <c r="C2">
        <v>0.45</v>
      </c>
      <c r="D2" t="s">
        <v>76</v>
      </c>
      <c r="E2" t="s">
        <v>77</v>
      </c>
      <c r="F2" t="s">
        <v>78</v>
      </c>
    </row>
    <row r="3" spans="1:6" x14ac:dyDescent="0.3">
      <c r="A3" t="s">
        <v>48</v>
      </c>
      <c r="B3">
        <v>0.45</v>
      </c>
      <c r="C3">
        <v>0.6</v>
      </c>
      <c r="D3" t="s">
        <v>79</v>
      </c>
      <c r="E3" t="s">
        <v>80</v>
      </c>
      <c r="F3" t="s">
        <v>78</v>
      </c>
    </row>
    <row r="4" spans="1:6" x14ac:dyDescent="0.3">
      <c r="A4" t="s">
        <v>81</v>
      </c>
      <c r="B4">
        <v>0.6</v>
      </c>
      <c r="C4">
        <v>0.75</v>
      </c>
      <c r="D4" t="s">
        <v>82</v>
      </c>
      <c r="E4" t="s">
        <v>83</v>
      </c>
      <c r="F4" t="s">
        <v>84</v>
      </c>
    </row>
    <row r="5" spans="1:6" x14ac:dyDescent="0.3">
      <c r="A5" t="s">
        <v>85</v>
      </c>
      <c r="B5">
        <v>0.75</v>
      </c>
      <c r="C5">
        <v>0.85</v>
      </c>
      <c r="D5" t="s">
        <v>86</v>
      </c>
      <c r="E5" t="s">
        <v>87</v>
      </c>
      <c r="F5" t="s">
        <v>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4.9989318521683403E-2"/>
  </sheetPr>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1:D35"/>
  <sheetViews>
    <sheetView showGridLines="0" workbookViewId="0">
      <selection activeCell="E19" sqref="E19"/>
    </sheetView>
  </sheetViews>
  <sheetFormatPr defaultRowHeight="14.4" x14ac:dyDescent="0.3"/>
  <cols>
    <col min="2" max="2" width="18.33203125" bestFit="1" customWidth="1"/>
  </cols>
  <sheetData>
    <row r="1" spans="2:4" x14ac:dyDescent="0.3">
      <c r="B1" s="1" t="s">
        <v>89</v>
      </c>
    </row>
    <row r="2" spans="2:4" ht="15" customHeight="1" thickBot="1" x14ac:dyDescent="0.35"/>
    <row r="3" spans="2:4" ht="15" customHeight="1" thickBot="1" x14ac:dyDescent="0.35">
      <c r="B3" s="69" t="s">
        <v>90</v>
      </c>
      <c r="C3" s="70" t="s">
        <v>252</v>
      </c>
      <c r="D3" s="71" t="s">
        <v>253</v>
      </c>
    </row>
    <row r="4" spans="2:4" x14ac:dyDescent="0.3">
      <c r="B4" s="29" t="s">
        <v>93</v>
      </c>
      <c r="C4" s="75">
        <v>0.02</v>
      </c>
      <c r="D4" s="75">
        <v>1.9E-2</v>
      </c>
    </row>
    <row r="5" spans="2:4" x14ac:dyDescent="0.3">
      <c r="B5" s="29" t="s">
        <v>94</v>
      </c>
      <c r="C5" s="28">
        <v>52</v>
      </c>
      <c r="D5" s="28">
        <v>52.5</v>
      </c>
    </row>
    <row r="6" spans="2:4" x14ac:dyDescent="0.3">
      <c r="B6" s="29" t="s">
        <v>95</v>
      </c>
      <c r="C6" s="28">
        <v>3</v>
      </c>
      <c r="D6" s="28">
        <v>3.05</v>
      </c>
    </row>
    <row r="7" spans="2:4" x14ac:dyDescent="0.3">
      <c r="B7" s="29" t="s">
        <v>96</v>
      </c>
      <c r="C7" s="95">
        <v>0.02</v>
      </c>
      <c r="D7" s="95">
        <v>1.9E-2</v>
      </c>
    </row>
    <row r="8" spans="2:4" x14ac:dyDescent="0.3">
      <c r="B8" s="29" t="s">
        <v>97</v>
      </c>
      <c r="C8" s="28" t="s">
        <v>256</v>
      </c>
      <c r="D8" s="28" t="s">
        <v>258</v>
      </c>
    </row>
    <row r="9" spans="2:4" x14ac:dyDescent="0.3">
      <c r="B9" s="29" t="s">
        <v>98</v>
      </c>
      <c r="C9" s="28">
        <v>15</v>
      </c>
      <c r="D9" s="28">
        <v>17</v>
      </c>
    </row>
    <row r="10" spans="2:4" ht="15" customHeight="1" x14ac:dyDescent="0.3">
      <c r="B10" s="29" t="s">
        <v>99</v>
      </c>
      <c r="C10" s="28">
        <v>1.17</v>
      </c>
      <c r="D10" s="28">
        <v>1.18</v>
      </c>
    </row>
    <row r="11" spans="2:4" x14ac:dyDescent="0.3">
      <c r="B11" s="29" t="s">
        <v>100</v>
      </c>
      <c r="C11" s="28">
        <v>3.3000000000000002E-2</v>
      </c>
      <c r="D11" s="28">
        <v>3.3000000000000002E-2</v>
      </c>
    </row>
    <row r="14" spans="2:4" ht="15" thickBot="1" x14ac:dyDescent="0.35"/>
    <row r="15" spans="2:4" ht="15" thickBot="1" x14ac:dyDescent="0.35">
      <c r="B15" s="69" t="s">
        <v>101</v>
      </c>
      <c r="C15" s="70" t="str">
        <f>C3</f>
        <v>Q1 2026</v>
      </c>
      <c r="D15" s="71" t="str">
        <f>D3</f>
        <v>Q2 2026</v>
      </c>
    </row>
    <row r="16" spans="2:4" ht="15" customHeight="1" x14ac:dyDescent="0.3">
      <c r="B16" s="29" t="s">
        <v>93</v>
      </c>
      <c r="C16" s="75">
        <v>1.2E-2</v>
      </c>
      <c r="D16" s="75">
        <v>1.3000000000000001E-2</v>
      </c>
    </row>
    <row r="17" spans="2:4" ht="15" customHeight="1" x14ac:dyDescent="0.3">
      <c r="B17" s="29" t="s">
        <v>94</v>
      </c>
      <c r="C17" s="28">
        <v>52.4</v>
      </c>
      <c r="D17" s="28">
        <v>52.3</v>
      </c>
    </row>
    <row r="18" spans="2:4" x14ac:dyDescent="0.3">
      <c r="B18" s="29" t="s">
        <v>95</v>
      </c>
      <c r="C18" s="28">
        <v>2.9</v>
      </c>
      <c r="D18" s="28">
        <v>2.95</v>
      </c>
    </row>
    <row r="19" spans="2:4" x14ac:dyDescent="0.3">
      <c r="B19" s="29" t="s">
        <v>96</v>
      </c>
      <c r="C19" s="75">
        <v>1.9E-2</v>
      </c>
      <c r="D19" s="75">
        <v>1.8000000000000002E-2</v>
      </c>
    </row>
    <row r="20" spans="2:4" x14ac:dyDescent="0.3">
      <c r="B20" s="29" t="s">
        <v>97</v>
      </c>
      <c r="C20" s="28" t="s">
        <v>256</v>
      </c>
      <c r="D20" s="28" t="s">
        <v>258</v>
      </c>
    </row>
    <row r="21" spans="2:4" x14ac:dyDescent="0.3">
      <c r="B21" s="29" t="s">
        <v>98</v>
      </c>
      <c r="C21" s="28">
        <v>15</v>
      </c>
      <c r="D21" s="28">
        <v>17</v>
      </c>
    </row>
    <row r="22" spans="2:4" x14ac:dyDescent="0.3">
      <c r="B22" s="29" t="s">
        <v>99</v>
      </c>
      <c r="C22" s="28">
        <v>1.17</v>
      </c>
      <c r="D22" s="28">
        <v>1.18</v>
      </c>
    </row>
    <row r="23" spans="2:4" x14ac:dyDescent="0.3">
      <c r="B23" s="29" t="s">
        <v>100</v>
      </c>
      <c r="C23" s="28">
        <v>6.3E-2</v>
      </c>
      <c r="D23" s="28">
        <v>6.2E-2</v>
      </c>
    </row>
    <row r="27" spans="2:4" ht="15" thickBot="1" x14ac:dyDescent="0.35">
      <c r="B27" s="69" t="s">
        <v>102</v>
      </c>
      <c r="C27" s="70" t="str">
        <f>C15</f>
        <v>Q1 2026</v>
      </c>
      <c r="D27" s="71" t="str">
        <f>D15</f>
        <v>Q2 2026</v>
      </c>
    </row>
    <row r="28" spans="2:4" x14ac:dyDescent="0.3">
      <c r="B28" s="29" t="s">
        <v>93</v>
      </c>
      <c r="C28" s="75">
        <v>1.7000000000000001E-2</v>
      </c>
      <c r="D28" s="75">
        <v>1.8000000000000002E-2</v>
      </c>
    </row>
    <row r="29" spans="2:4" x14ac:dyDescent="0.3">
      <c r="B29" s="29" t="s">
        <v>94</v>
      </c>
      <c r="C29" s="28">
        <v>52.8</v>
      </c>
      <c r="D29" s="28">
        <v>52.5</v>
      </c>
    </row>
    <row r="30" spans="2:4" x14ac:dyDescent="0.3">
      <c r="B30" s="29" t="s">
        <v>95</v>
      </c>
      <c r="C30" s="28">
        <v>4.2</v>
      </c>
      <c r="D30" s="28">
        <v>4.25</v>
      </c>
    </row>
    <row r="31" spans="2:4" x14ac:dyDescent="0.3">
      <c r="B31" s="29" t="s">
        <v>96</v>
      </c>
      <c r="C31" s="75">
        <v>2.7000000000000003E-2</v>
      </c>
      <c r="D31" s="75">
        <v>2.6000000000000002E-2</v>
      </c>
    </row>
    <row r="32" spans="2:4" x14ac:dyDescent="0.3">
      <c r="B32" s="29" t="s">
        <v>97</v>
      </c>
      <c r="C32" s="28" t="s">
        <v>256</v>
      </c>
      <c r="D32" s="28" t="s">
        <v>257</v>
      </c>
    </row>
    <row r="33" spans="2:4" x14ac:dyDescent="0.3">
      <c r="B33" s="29" t="s">
        <v>98</v>
      </c>
      <c r="C33" s="28">
        <v>15</v>
      </c>
      <c r="D33" s="28">
        <v>17</v>
      </c>
    </row>
    <row r="34" spans="2:4" x14ac:dyDescent="0.3">
      <c r="B34" s="29" t="s">
        <v>99</v>
      </c>
      <c r="C34" s="28">
        <v>1.17</v>
      </c>
      <c r="D34" s="28">
        <v>1.18</v>
      </c>
    </row>
    <row r="35" spans="2:4" x14ac:dyDescent="0.3">
      <c r="B35" s="29" t="s">
        <v>100</v>
      </c>
      <c r="C35" s="28">
        <v>4.3999999999999997E-2</v>
      </c>
      <c r="D35" s="28">
        <v>4.3999999999999997E-2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B1:AA121"/>
  <sheetViews>
    <sheetView showGridLines="0" tabSelected="1" topLeftCell="A98" zoomScale="78" zoomScaleNormal="60" workbookViewId="0">
      <selection activeCell="Z118" sqref="Z118"/>
    </sheetView>
  </sheetViews>
  <sheetFormatPr defaultColWidth="8.88671875" defaultRowHeight="14.4" outlineLevelCol="1" x14ac:dyDescent="0.3"/>
  <cols>
    <col min="1" max="1" width="2.6640625" style="44" customWidth="1"/>
    <col min="2" max="2" width="32.33203125" style="44" customWidth="1"/>
    <col min="3" max="3" width="6" style="44" customWidth="1" outlineLevel="1"/>
    <col min="4" max="4" width="6.5546875" style="44" customWidth="1" outlineLevel="1"/>
    <col min="5" max="5" width="7.88671875" style="44" customWidth="1" outlineLevel="1"/>
    <col min="6" max="6" width="5.6640625" style="44" customWidth="1" outlineLevel="1"/>
    <col min="7" max="7" width="20.109375" style="44" customWidth="1" outlineLevel="1"/>
    <col min="8" max="8" width="5.6640625" style="44" customWidth="1" outlineLevel="1"/>
    <col min="9" max="9" width="12" style="44" customWidth="1" outlineLevel="1"/>
    <col min="10" max="10" width="18.6640625" style="44" customWidth="1" outlineLevel="1"/>
    <col min="11" max="11" width="15.44140625" style="44" bestFit="1" customWidth="1"/>
    <col min="12" max="12" width="7.6640625" style="44" customWidth="1" outlineLevel="1"/>
    <col min="13" max="15" width="8.88671875" style="44" customWidth="1" outlineLevel="1"/>
    <col min="16" max="16" width="20.109375" style="44" customWidth="1" outlineLevel="1"/>
    <col min="17" max="17" width="5.6640625" style="44" customWidth="1" outlineLevel="1"/>
    <col min="18" max="18" width="12" style="44" customWidth="1" outlineLevel="1"/>
    <col min="19" max="19" width="18.6640625" style="44" customWidth="1" outlineLevel="1"/>
    <col min="20" max="20" width="15.44140625" style="44" bestFit="1" customWidth="1"/>
    <col min="21" max="24" width="8.88671875" style="44" customWidth="1"/>
    <col min="25" max="16384" width="8.88671875" style="44"/>
  </cols>
  <sheetData>
    <row r="1" spans="2:27" ht="15" customHeight="1" thickBot="1" x14ac:dyDescent="0.35"/>
    <row r="2" spans="2:27" x14ac:dyDescent="0.3">
      <c r="B2" s="58"/>
      <c r="C2" s="59"/>
      <c r="D2" s="59"/>
      <c r="E2" s="59"/>
      <c r="F2" s="59"/>
      <c r="G2" s="59"/>
      <c r="H2" s="59"/>
      <c r="I2" s="59"/>
      <c r="J2" s="59"/>
      <c r="K2" s="59"/>
      <c r="L2" s="59"/>
      <c r="M2" s="59"/>
      <c r="N2" s="59"/>
      <c r="O2" s="59"/>
      <c r="P2" s="59"/>
      <c r="Q2" s="59"/>
      <c r="R2" s="59"/>
      <c r="S2" s="59"/>
      <c r="T2" s="59"/>
      <c r="U2" s="59"/>
      <c r="V2" s="59"/>
      <c r="W2" s="59"/>
      <c r="X2" s="59"/>
      <c r="Y2" s="59"/>
      <c r="Z2" s="59"/>
      <c r="AA2" s="60"/>
    </row>
    <row r="3" spans="2:27" x14ac:dyDescent="0.3">
      <c r="B3" s="61"/>
      <c r="C3" s="62"/>
      <c r="D3" s="62"/>
      <c r="E3" s="62"/>
      <c r="F3" s="62"/>
      <c r="G3" s="62"/>
      <c r="H3" s="62"/>
      <c r="I3" s="62"/>
      <c r="J3" s="62"/>
      <c r="K3" s="62"/>
      <c r="L3" s="62"/>
      <c r="M3" s="62"/>
      <c r="N3" s="62"/>
      <c r="O3" s="62"/>
      <c r="P3" s="62"/>
      <c r="Q3" s="62"/>
      <c r="R3" s="62"/>
      <c r="S3" s="62"/>
      <c r="T3" s="62"/>
      <c r="U3" s="62"/>
      <c r="V3" s="62"/>
      <c r="W3" s="62"/>
      <c r="X3" s="62"/>
      <c r="Y3" s="62"/>
      <c r="Z3" s="62"/>
      <c r="AA3" s="63"/>
    </row>
    <row r="4" spans="2:27" x14ac:dyDescent="0.3">
      <c r="B4" s="61"/>
      <c r="C4" s="62"/>
      <c r="D4" s="62"/>
      <c r="E4" s="62"/>
      <c r="F4" s="62"/>
      <c r="G4" s="62"/>
      <c r="H4" s="62"/>
      <c r="I4" s="62"/>
      <c r="J4" s="62"/>
      <c r="K4" s="62"/>
      <c r="L4" s="62"/>
      <c r="M4" s="62"/>
      <c r="N4" s="62"/>
      <c r="O4" s="62"/>
      <c r="P4" s="62"/>
      <c r="Q4" s="62"/>
      <c r="R4" s="62"/>
      <c r="S4" s="62"/>
      <c r="T4" s="62"/>
      <c r="U4" s="62"/>
      <c r="V4" s="62"/>
      <c r="W4" s="62"/>
      <c r="X4" s="62"/>
      <c r="Y4" s="62"/>
      <c r="Z4" s="62"/>
      <c r="AA4" s="63"/>
    </row>
    <row r="5" spans="2:27" x14ac:dyDescent="0.3">
      <c r="B5" s="61"/>
      <c r="C5" s="62"/>
      <c r="D5" s="62"/>
      <c r="E5" s="62"/>
      <c r="F5" s="62"/>
      <c r="G5" s="62"/>
      <c r="H5" s="62"/>
      <c r="I5" s="62"/>
      <c r="J5" s="62"/>
      <c r="K5" s="62"/>
      <c r="L5" s="62"/>
      <c r="M5" s="62"/>
      <c r="N5" s="62"/>
      <c r="O5" s="62"/>
      <c r="P5" s="62"/>
      <c r="Q5" s="62"/>
      <c r="R5" s="62"/>
      <c r="S5" s="62"/>
      <c r="T5" s="62"/>
      <c r="U5" s="62"/>
      <c r="V5" s="62"/>
      <c r="W5" s="62"/>
      <c r="X5" s="62"/>
      <c r="Y5" s="62"/>
      <c r="Z5" s="62"/>
      <c r="AA5" s="63"/>
    </row>
    <row r="6" spans="2:27" x14ac:dyDescent="0.3">
      <c r="B6" s="61"/>
      <c r="C6" s="62"/>
      <c r="D6" s="62"/>
      <c r="E6" s="62"/>
      <c r="F6" s="62"/>
      <c r="G6" s="62"/>
      <c r="H6" s="62"/>
      <c r="I6" s="62"/>
      <c r="J6" s="62"/>
      <c r="K6" s="62"/>
      <c r="L6" s="62"/>
      <c r="M6" s="62"/>
      <c r="N6" s="62"/>
      <c r="O6" s="62"/>
      <c r="P6" s="62"/>
      <c r="Q6" s="62"/>
      <c r="R6" s="62"/>
      <c r="S6" s="62"/>
      <c r="T6" s="62"/>
      <c r="U6" s="62"/>
      <c r="V6" s="62"/>
      <c r="W6" s="62"/>
      <c r="X6" s="62"/>
      <c r="Y6" s="62"/>
      <c r="Z6" s="62"/>
      <c r="AA6" s="63"/>
    </row>
    <row r="7" spans="2:27" x14ac:dyDescent="0.3">
      <c r="B7" s="61"/>
      <c r="C7" s="62"/>
      <c r="D7" s="62"/>
      <c r="E7" s="62"/>
      <c r="F7" s="62"/>
      <c r="G7" s="62"/>
      <c r="H7" s="62"/>
      <c r="I7" s="62"/>
      <c r="J7" s="62"/>
      <c r="K7" s="62"/>
      <c r="L7" s="62"/>
      <c r="M7" s="62"/>
      <c r="N7" s="62"/>
      <c r="O7" s="62"/>
      <c r="P7" s="62"/>
      <c r="Q7" s="62"/>
      <c r="R7" s="62"/>
      <c r="S7" s="62"/>
      <c r="T7" s="62"/>
      <c r="U7" s="62"/>
      <c r="V7" s="62"/>
      <c r="W7" s="62"/>
      <c r="X7" s="62"/>
      <c r="Y7" s="62"/>
      <c r="Z7" s="62"/>
      <c r="AA7" s="63"/>
    </row>
    <row r="8" spans="2:27" x14ac:dyDescent="0.3">
      <c r="B8" s="61"/>
      <c r="C8" s="62"/>
      <c r="D8" s="62"/>
      <c r="E8" s="62"/>
      <c r="F8" s="62"/>
      <c r="G8" s="62"/>
      <c r="H8" s="62"/>
      <c r="I8" s="62"/>
      <c r="J8" s="62"/>
      <c r="K8" s="62"/>
      <c r="L8" s="62"/>
      <c r="M8" s="62"/>
      <c r="N8" s="62"/>
      <c r="O8" s="62"/>
      <c r="P8" s="62"/>
      <c r="Q8" s="62"/>
      <c r="R8" s="62"/>
      <c r="S8" s="62"/>
      <c r="T8" s="62"/>
      <c r="U8" s="62"/>
      <c r="V8" s="62"/>
      <c r="W8" s="62"/>
      <c r="X8" s="62"/>
      <c r="Y8" s="62"/>
      <c r="Z8" s="62"/>
      <c r="AA8" s="63"/>
    </row>
    <row r="9" spans="2:27" x14ac:dyDescent="0.3">
      <c r="B9" s="61"/>
      <c r="C9" s="62"/>
      <c r="D9" s="62"/>
      <c r="E9" s="62"/>
      <c r="F9" s="62"/>
      <c r="G9" s="62"/>
      <c r="H9" s="62"/>
      <c r="I9" s="62"/>
      <c r="J9" s="62"/>
      <c r="K9" s="62"/>
      <c r="L9" s="62"/>
      <c r="M9" s="62"/>
      <c r="N9" s="62"/>
      <c r="O9" s="62"/>
      <c r="P9" s="62"/>
      <c r="Q9" s="62"/>
      <c r="R9" s="62"/>
      <c r="S9" s="62"/>
      <c r="T9" s="62"/>
      <c r="U9" s="62"/>
      <c r="V9" s="62"/>
      <c r="W9" s="62"/>
      <c r="X9" s="62"/>
      <c r="Y9" s="62"/>
      <c r="Z9" s="62"/>
      <c r="AA9" s="63"/>
    </row>
    <row r="10" spans="2:27" x14ac:dyDescent="0.3">
      <c r="B10" s="61"/>
      <c r="C10" s="62"/>
      <c r="D10" s="62"/>
      <c r="E10" s="62"/>
      <c r="F10" s="62"/>
      <c r="G10" s="62"/>
      <c r="H10" s="62"/>
      <c r="I10" s="62"/>
      <c r="J10" s="62"/>
      <c r="K10" s="62"/>
      <c r="L10" s="62"/>
      <c r="M10" s="62"/>
      <c r="N10" s="62"/>
      <c r="O10" s="62"/>
      <c r="P10" s="62"/>
      <c r="Q10" s="62"/>
      <c r="R10" s="62"/>
      <c r="S10" s="62"/>
      <c r="T10" s="62"/>
      <c r="U10" s="62"/>
      <c r="V10" s="62"/>
      <c r="W10" s="62"/>
      <c r="X10" s="62"/>
      <c r="Y10" s="62"/>
      <c r="Z10" s="62"/>
      <c r="AA10" s="63"/>
    </row>
    <row r="11" spans="2:27" x14ac:dyDescent="0.3">
      <c r="B11" s="61"/>
      <c r="C11" s="62"/>
      <c r="D11" s="62"/>
      <c r="E11" s="62"/>
      <c r="F11" s="62"/>
      <c r="G11" s="62"/>
      <c r="H11" s="62"/>
      <c r="I11" s="62"/>
      <c r="J11" s="62"/>
      <c r="K11" s="62"/>
      <c r="L11" s="62"/>
      <c r="M11" s="62"/>
      <c r="N11" s="62"/>
      <c r="O11" s="62"/>
      <c r="P11" s="62"/>
      <c r="Q11" s="62"/>
      <c r="R11" s="62"/>
      <c r="S11" s="62"/>
      <c r="T11" s="62"/>
      <c r="U11" s="62"/>
      <c r="V11" s="62"/>
      <c r="W11" s="62"/>
      <c r="X11" s="62"/>
      <c r="Y11" s="62"/>
      <c r="Z11" s="62"/>
      <c r="AA11" s="63"/>
    </row>
    <row r="12" spans="2:27" x14ac:dyDescent="0.3">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3"/>
    </row>
    <row r="13" spans="2:27" x14ac:dyDescent="0.3">
      <c r="B13" s="61"/>
      <c r="C13" s="62"/>
      <c r="D13" s="62"/>
      <c r="E13" s="62"/>
      <c r="F13" s="62"/>
      <c r="G13" s="62"/>
      <c r="H13" s="62"/>
      <c r="I13" s="62"/>
      <c r="J13" s="62"/>
      <c r="K13" s="62"/>
      <c r="L13" s="62"/>
      <c r="M13" s="62"/>
      <c r="N13" s="62"/>
      <c r="O13" s="62"/>
      <c r="P13" s="62"/>
      <c r="Q13" s="62"/>
      <c r="R13" s="62"/>
      <c r="S13" s="62"/>
      <c r="T13" s="62"/>
      <c r="U13" s="62"/>
      <c r="V13" s="62"/>
      <c r="W13" s="62"/>
      <c r="X13" s="62"/>
      <c r="Y13" s="62"/>
      <c r="Z13" s="62"/>
      <c r="AA13" s="63"/>
    </row>
    <row r="14" spans="2:27" x14ac:dyDescent="0.3">
      <c r="B14" s="61"/>
      <c r="C14" s="62"/>
      <c r="D14" s="62"/>
      <c r="E14" s="62"/>
      <c r="F14" s="62"/>
      <c r="G14" s="62"/>
      <c r="H14" s="62"/>
      <c r="I14" s="62"/>
      <c r="J14" s="62"/>
      <c r="K14" s="62"/>
      <c r="L14" s="62"/>
      <c r="M14" s="62"/>
      <c r="N14" s="62"/>
      <c r="O14" s="62"/>
      <c r="P14" s="62"/>
      <c r="Q14" s="62"/>
      <c r="R14" s="62"/>
      <c r="S14" s="62"/>
      <c r="T14" s="62"/>
      <c r="U14" s="62"/>
      <c r="V14" s="62"/>
      <c r="W14" s="62"/>
      <c r="X14" s="62"/>
      <c r="Y14" s="62"/>
      <c r="Z14" s="62"/>
      <c r="AA14" s="63"/>
    </row>
    <row r="15" spans="2:27" x14ac:dyDescent="0.3">
      <c r="B15" s="61"/>
      <c r="C15" s="62"/>
      <c r="D15" s="62"/>
      <c r="E15" s="62"/>
      <c r="F15" s="62"/>
      <c r="G15" s="62"/>
      <c r="H15" s="62"/>
      <c r="I15" s="62"/>
      <c r="J15" s="62"/>
      <c r="K15" s="62"/>
      <c r="L15" s="62"/>
      <c r="M15" s="62"/>
      <c r="N15" s="62"/>
      <c r="O15" s="62"/>
      <c r="P15" s="62"/>
      <c r="Q15" s="62"/>
      <c r="R15" s="62"/>
      <c r="S15" s="62"/>
      <c r="T15" s="62"/>
      <c r="U15" s="62"/>
      <c r="V15" s="62"/>
      <c r="W15" s="62"/>
      <c r="X15" s="62"/>
      <c r="Y15" s="62"/>
      <c r="Z15" s="62"/>
      <c r="AA15" s="63"/>
    </row>
    <row r="16" spans="2:27" x14ac:dyDescent="0.3">
      <c r="B16" s="61"/>
      <c r="C16" s="62"/>
      <c r="D16" s="62"/>
      <c r="E16" s="62"/>
      <c r="F16" s="62"/>
      <c r="G16" s="62"/>
      <c r="H16" s="62"/>
      <c r="I16" s="62"/>
      <c r="J16" s="62"/>
      <c r="K16" s="62"/>
      <c r="L16" s="62"/>
      <c r="M16" s="62"/>
      <c r="N16" s="62"/>
      <c r="O16" s="62"/>
      <c r="P16" s="62"/>
      <c r="Q16" s="62"/>
      <c r="R16" s="62"/>
      <c r="S16" s="62"/>
      <c r="T16" s="62"/>
      <c r="U16" s="62"/>
      <c r="V16" s="62"/>
      <c r="W16" s="62"/>
      <c r="X16" s="62"/>
      <c r="Y16" s="62"/>
      <c r="Z16" s="62"/>
      <c r="AA16" s="63"/>
    </row>
    <row r="17" spans="2:27" x14ac:dyDescent="0.3">
      <c r="B17" s="61"/>
      <c r="C17" s="62"/>
      <c r="D17" s="62"/>
      <c r="E17" s="62"/>
      <c r="F17" s="62"/>
      <c r="G17" s="62"/>
      <c r="H17" s="62"/>
      <c r="I17" s="62"/>
      <c r="J17" s="62"/>
      <c r="K17" s="62"/>
      <c r="L17" s="62"/>
      <c r="M17" s="62"/>
      <c r="N17" s="62"/>
      <c r="O17" s="62"/>
      <c r="P17" s="62"/>
      <c r="Q17" s="62"/>
      <c r="R17" s="62"/>
      <c r="S17" s="62"/>
      <c r="T17" s="62"/>
      <c r="U17" s="62"/>
      <c r="V17" s="62"/>
      <c r="W17" s="62"/>
      <c r="X17" s="62"/>
      <c r="Y17" s="62"/>
      <c r="Z17" s="62"/>
      <c r="AA17" s="63"/>
    </row>
    <row r="18" spans="2:27" x14ac:dyDescent="0.3">
      <c r="B18" s="61"/>
      <c r="C18" s="62"/>
      <c r="D18" s="62"/>
      <c r="E18" s="62"/>
      <c r="F18" s="62"/>
      <c r="G18" s="62"/>
      <c r="H18" s="62"/>
      <c r="I18" s="62"/>
      <c r="J18" s="62"/>
      <c r="K18" s="62"/>
      <c r="L18" s="62"/>
      <c r="M18" s="62"/>
      <c r="N18" s="62"/>
      <c r="O18" s="62"/>
      <c r="P18" s="62"/>
      <c r="Q18" s="62"/>
      <c r="R18" s="62"/>
      <c r="S18" s="62"/>
      <c r="T18" s="62"/>
      <c r="U18" s="62"/>
      <c r="V18" s="62"/>
      <c r="W18" s="62"/>
      <c r="X18" s="62"/>
      <c r="Y18" s="62"/>
      <c r="Z18" s="62"/>
      <c r="AA18" s="63"/>
    </row>
    <row r="19" spans="2:27" x14ac:dyDescent="0.3">
      <c r="B19" s="61"/>
      <c r="C19" s="62"/>
      <c r="D19" s="62"/>
      <c r="E19" s="62"/>
      <c r="F19" s="62"/>
      <c r="G19" s="62"/>
      <c r="H19" s="62"/>
      <c r="I19" s="62"/>
      <c r="J19" s="62"/>
      <c r="K19" s="62"/>
      <c r="L19" s="62"/>
      <c r="M19" s="62"/>
      <c r="N19" s="62"/>
      <c r="O19" s="62"/>
      <c r="P19" s="62"/>
      <c r="Q19" s="62"/>
      <c r="R19" s="62"/>
      <c r="S19" s="62"/>
      <c r="T19" s="62"/>
      <c r="U19" s="62"/>
      <c r="V19" s="62"/>
      <c r="W19" s="62"/>
      <c r="X19" s="62"/>
      <c r="Y19" s="62"/>
      <c r="Z19" s="62"/>
      <c r="AA19" s="63"/>
    </row>
    <row r="20" spans="2:27" x14ac:dyDescent="0.3">
      <c r="B20" s="61"/>
      <c r="C20" s="62"/>
      <c r="D20" s="62"/>
      <c r="E20" s="62"/>
      <c r="F20" s="62"/>
      <c r="G20" s="62"/>
      <c r="H20" s="62"/>
      <c r="I20" s="62"/>
      <c r="J20" s="62"/>
      <c r="K20" s="62"/>
      <c r="L20" s="62"/>
      <c r="M20" s="62"/>
      <c r="N20" s="62"/>
      <c r="O20" s="62"/>
      <c r="P20" s="62"/>
      <c r="Q20" s="62"/>
      <c r="R20" s="62"/>
      <c r="S20" s="62"/>
      <c r="T20" s="62"/>
      <c r="U20" s="62"/>
      <c r="V20" s="62"/>
      <c r="W20" s="62"/>
      <c r="X20" s="62"/>
      <c r="Y20" s="62"/>
      <c r="Z20" s="62"/>
      <c r="AA20" s="63"/>
    </row>
    <row r="21" spans="2:27" x14ac:dyDescent="0.3">
      <c r="B21" s="61"/>
      <c r="C21" s="62"/>
      <c r="D21" s="62"/>
      <c r="E21" s="62"/>
      <c r="F21" s="62"/>
      <c r="G21" s="62"/>
      <c r="H21" s="62"/>
      <c r="I21" s="62"/>
      <c r="J21" s="62"/>
      <c r="K21" s="62"/>
      <c r="L21" s="62"/>
      <c r="M21" s="62"/>
      <c r="N21" s="62"/>
      <c r="O21" s="62"/>
      <c r="P21" s="62"/>
      <c r="Q21" s="62"/>
      <c r="R21" s="62"/>
      <c r="S21" s="62"/>
      <c r="T21" s="62"/>
      <c r="U21" s="62"/>
      <c r="V21" s="62"/>
      <c r="W21" s="62"/>
      <c r="X21" s="62"/>
      <c r="Y21" s="62"/>
      <c r="Z21" s="62"/>
      <c r="AA21" s="63"/>
    </row>
    <row r="22" spans="2:27" x14ac:dyDescent="0.3">
      <c r="B22" s="61"/>
      <c r="C22" s="62"/>
      <c r="D22" s="62"/>
      <c r="E22" s="62"/>
      <c r="F22" s="62"/>
      <c r="G22" s="62"/>
      <c r="H22" s="62"/>
      <c r="I22" s="62"/>
      <c r="J22" s="62"/>
      <c r="K22" s="62"/>
      <c r="L22" s="62"/>
      <c r="M22" s="62"/>
      <c r="N22" s="62"/>
      <c r="O22" s="62"/>
      <c r="P22" s="62"/>
      <c r="Q22" s="62"/>
      <c r="R22" s="62"/>
      <c r="S22" s="62"/>
      <c r="T22" s="62"/>
      <c r="U22" s="62"/>
      <c r="V22" s="62"/>
      <c r="W22" s="62"/>
      <c r="X22" s="62"/>
      <c r="Y22" s="62"/>
      <c r="Z22" s="62"/>
      <c r="AA22" s="63"/>
    </row>
    <row r="23" spans="2:27" x14ac:dyDescent="0.3">
      <c r="B23" s="61"/>
      <c r="C23" s="62"/>
      <c r="D23" s="62"/>
      <c r="E23" s="62"/>
      <c r="F23" s="62"/>
      <c r="G23" s="62"/>
      <c r="H23" s="62"/>
      <c r="I23" s="62"/>
      <c r="J23" s="62"/>
      <c r="K23" s="62"/>
      <c r="L23" s="62"/>
      <c r="M23" s="62"/>
      <c r="N23" s="62"/>
      <c r="O23" s="62"/>
      <c r="P23" s="62"/>
      <c r="Q23" s="62"/>
      <c r="R23" s="62"/>
      <c r="S23" s="62"/>
      <c r="T23" s="62"/>
      <c r="U23" s="62"/>
      <c r="V23" s="62"/>
      <c r="W23" s="62"/>
      <c r="X23" s="62"/>
      <c r="Y23" s="62"/>
      <c r="Z23" s="62"/>
      <c r="AA23" s="63"/>
    </row>
    <row r="24" spans="2:27" x14ac:dyDescent="0.3">
      <c r="B24" s="61"/>
      <c r="C24" s="62"/>
      <c r="D24" s="62"/>
      <c r="E24" s="62"/>
      <c r="F24" s="62"/>
      <c r="G24" s="62"/>
      <c r="H24" s="62"/>
      <c r="I24" s="62"/>
      <c r="J24" s="62"/>
      <c r="K24" s="62"/>
      <c r="L24" s="62"/>
      <c r="M24" s="62"/>
      <c r="N24" s="62"/>
      <c r="O24" s="62"/>
      <c r="P24" s="62"/>
      <c r="Q24" s="62"/>
      <c r="R24" s="62"/>
      <c r="S24" s="62"/>
      <c r="T24" s="62"/>
      <c r="U24" s="62"/>
      <c r="V24" s="62"/>
      <c r="W24" s="62"/>
      <c r="X24" s="62"/>
      <c r="Y24" s="62"/>
      <c r="Z24" s="62"/>
      <c r="AA24" s="63"/>
    </row>
    <row r="25" spans="2:27" x14ac:dyDescent="0.3">
      <c r="B25" s="61"/>
      <c r="C25" s="62"/>
      <c r="D25" s="62"/>
      <c r="E25" s="62"/>
      <c r="F25" s="62"/>
      <c r="G25" s="62"/>
      <c r="H25" s="62"/>
      <c r="I25" s="62"/>
      <c r="J25" s="62"/>
      <c r="K25" s="62"/>
      <c r="L25" s="62"/>
      <c r="M25" s="62"/>
      <c r="N25" s="62"/>
      <c r="O25" s="62"/>
      <c r="P25" s="62"/>
      <c r="Q25" s="62"/>
      <c r="R25" s="62"/>
      <c r="S25" s="62"/>
      <c r="T25" s="62"/>
      <c r="U25" s="62"/>
      <c r="V25" s="62"/>
      <c r="W25" s="62"/>
      <c r="X25" s="62"/>
      <c r="Y25" s="62"/>
      <c r="Z25" s="62"/>
      <c r="AA25" s="63"/>
    </row>
    <row r="26" spans="2:27" x14ac:dyDescent="0.3">
      <c r="B26" s="61"/>
      <c r="C26" s="62"/>
      <c r="D26" s="62"/>
      <c r="E26" s="62"/>
      <c r="F26" s="62"/>
      <c r="G26" s="62"/>
      <c r="H26" s="62"/>
      <c r="I26" s="62"/>
      <c r="J26" s="62"/>
      <c r="K26" s="62"/>
      <c r="L26" s="62"/>
      <c r="M26" s="62"/>
      <c r="N26" s="62"/>
      <c r="O26" s="62"/>
      <c r="P26" s="62"/>
      <c r="Q26" s="62"/>
      <c r="R26" s="62"/>
      <c r="S26" s="62"/>
      <c r="T26" s="62"/>
      <c r="U26" s="62"/>
      <c r="V26" s="62"/>
      <c r="W26" s="62"/>
      <c r="X26" s="62"/>
      <c r="Y26" s="62"/>
      <c r="Z26" s="62"/>
      <c r="AA26" s="63"/>
    </row>
    <row r="27" spans="2:27" ht="15" customHeight="1" thickBot="1" x14ac:dyDescent="0.35">
      <c r="B27" s="64"/>
      <c r="C27" s="65"/>
      <c r="D27" s="65"/>
      <c r="E27" s="65"/>
      <c r="F27" s="65"/>
      <c r="G27" s="65"/>
      <c r="H27" s="65"/>
      <c r="I27" s="65"/>
      <c r="J27" s="65"/>
      <c r="K27" s="65"/>
      <c r="L27" s="65"/>
      <c r="M27" s="65"/>
      <c r="N27" s="65"/>
      <c r="O27" s="65"/>
      <c r="P27" s="65"/>
      <c r="Q27" s="65"/>
      <c r="R27" s="65"/>
      <c r="S27" s="65"/>
      <c r="T27" s="65"/>
      <c r="U27" s="65"/>
      <c r="V27" s="65"/>
      <c r="W27" s="65"/>
      <c r="X27" s="65"/>
      <c r="Y27" s="65"/>
      <c r="Z27" s="65"/>
      <c r="AA27" s="66"/>
    </row>
    <row r="29" spans="2:27" x14ac:dyDescent="0.3">
      <c r="C29" s="45"/>
      <c r="D29" s="45"/>
      <c r="E29" s="45"/>
      <c r="F29" s="45"/>
      <c r="G29" s="45"/>
      <c r="H29" s="45"/>
      <c r="I29" s="45"/>
      <c r="J29" s="45"/>
      <c r="K29" s="45" t="str">
        <f>'Fremtid vækst'!$C$3</f>
        <v>Q1 2026</v>
      </c>
      <c r="L29" s="45"/>
      <c r="T29" s="45" t="str">
        <f>'Fremtid vækst'!$D$3</f>
        <v>Q2 2026</v>
      </c>
    </row>
    <row r="30" spans="2:27" ht="18" customHeight="1" x14ac:dyDescent="0.35">
      <c r="B30" s="49" t="s">
        <v>90</v>
      </c>
      <c r="C30" s="47" t="s">
        <v>94</v>
      </c>
      <c r="D30" s="47" t="s">
        <v>93</v>
      </c>
      <c r="E30" s="47" t="s">
        <v>109</v>
      </c>
      <c r="F30" s="47" t="s">
        <v>96</v>
      </c>
      <c r="G30" s="47" t="s">
        <v>97</v>
      </c>
      <c r="H30" s="47" t="s">
        <v>98</v>
      </c>
      <c r="I30" s="47" t="s">
        <v>111</v>
      </c>
      <c r="J30" s="47" t="s">
        <v>100</v>
      </c>
      <c r="K30" s="47" t="s">
        <v>110</v>
      </c>
      <c r="L30" s="47" t="s">
        <v>94</v>
      </c>
      <c r="M30" s="47" t="s">
        <v>93</v>
      </c>
      <c r="N30" s="47" t="s">
        <v>109</v>
      </c>
      <c r="O30" s="47" t="s">
        <v>96</v>
      </c>
      <c r="P30" s="47" t="s">
        <v>97</v>
      </c>
      <c r="Q30" s="47" t="s">
        <v>98</v>
      </c>
      <c r="R30" s="47" t="s">
        <v>111</v>
      </c>
      <c r="S30" s="47" t="s">
        <v>100</v>
      </c>
      <c r="T30" s="47" t="s">
        <v>110</v>
      </c>
    </row>
    <row r="31" spans="2:27" x14ac:dyDescent="0.3">
      <c r="B31" s="50" t="s">
        <v>9</v>
      </c>
      <c r="C31" s="85">
        <f>IF(PMI!$F$31=PMI!$B$43,PMI!$B44,IF(PMI!$F$31=PMI!$C$43,PMI!$C44,IF(PMI!$F$31=PMI!$D$43,PMI!$D44,IF(PMI!$F$31=PMI!$E$43,PMI!$E44,1))))</f>
        <v>4</v>
      </c>
      <c r="D31" s="86">
        <f>BNP!I86</f>
        <v>3</v>
      </c>
      <c r="E31" s="86">
        <f>IF('10 yr rate'!$E$30='10 yr rate'!$B$35,'10 yr rate'!$B36,IF('10 yr rate'!$E$30='10 yr rate'!$C$35,'10 yr rate'!$C36,IF('10 yr rate'!$E$30='10 yr rate'!$D$35,'10 yr rate'!$D36,IF('10 yr rate'!$E$30='10 yr rate'!$E$35,'10 yr rate'!$E36,1))))</f>
        <v>4</v>
      </c>
      <c r="F31" s="86">
        <f>IF('CPI(Inflation)'!$E$9='CPI(Inflation)'!$B$33,'CPI(Inflation)'!$B34,IF('CPI(Inflation)'!$E$9='CPI(Inflation)'!$C$33,'CPI(Inflation)'!$C34,IF('CPI(Inflation)'!$E$9='CPI(Inflation)'!$D$33,'CPI(Inflation)'!$D34,IF('CPI(Inflation)'!$E$9='CPI(Inflation)'!$E$33,'CPI(Inflation)'!$E34,1))))</f>
        <v>4</v>
      </c>
      <c r="G31" s="86">
        <f>'Baltic Dry Index'!B34</f>
        <v>4</v>
      </c>
      <c r="H31" s="86">
        <f>IF(VIX!$F$25=VIX!$B$33,VIX!B34,IF(VIX!$F$25=VIX!$C$33,VIX!C34,IF(VIX!$F$25=VIX!$D$33,VIX!D34,IF(VIX!$F$25=VIX!$E$33,VIX!E34,1))))</f>
        <v>4</v>
      </c>
      <c r="I31" s="86">
        <f>IF(Currency!$F$25=Currency!$B$33,Currency!B34,IF(Currency!$F$25=Currency!$C$33,Currency!C34,IF(Currency!$F$25=Currency!$D$33,Currency!D34,IF(Currency!$F$25=Currency!$E$33,Currency!E34,1))))</f>
        <v>2</v>
      </c>
      <c r="J31" s="86">
        <f>IF(Unemployment!$F$25=Unemployment!$B$33,Unemployment!B34,IF(Unemployment!$F$25=Unemployment!$C$33,Unemployment!C34,IF(Unemployment!$F$25=Unemployment!$D$33,Unemployment!D34,IF(Unemployment!$F$25=Unemployment!$E$33,Unemployment!E34,1))))</f>
        <v>4</v>
      </c>
      <c r="K31" s="90">
        <f t="shared" ref="K31:K41" si="0">AVERAGE(C31*0.2222 + D31*0.3056 + E31*0.1667 + F31*0.1389 + I31*0.0556 + J31*0.1111)</f>
        <v>3.5836000000000001</v>
      </c>
      <c r="L31" s="85">
        <f>IF(PMI!$F$32=PMI!$B$43,PMI!$B44,IF(PMI!$F$32=PMI!$C$43,PMI!$C44,IF(PMI!$F$32=PMI!$D$43,PMI!$D44,IF(PMI!$F$32=PMI!$E$43,PMI!$E44,1))))</f>
        <v>4</v>
      </c>
      <c r="M31" s="86">
        <f>BNP!J86</f>
        <v>3</v>
      </c>
      <c r="N31" s="86">
        <f>IF('10 yr rate'!$E$31='10 yr rate'!$B$35,'10 yr rate'!$B36,IF('10 yr rate'!$E$31='10 yr rate'!$C$35,'10 yr rate'!$C36,IF('10 yr rate'!$E$31='10 yr rate'!$D$35,'10 yr rate'!$D36,IF('10 yr rate'!$E$31='10 yr rate'!$E$35,'10 yr rate'!$E36,1))))</f>
        <v>4</v>
      </c>
      <c r="O31" s="86">
        <f>IF('CPI(Inflation)'!$E$10='CPI(Inflation)'!$B$33,'CPI(Inflation)'!$B34,IF('CPI(Inflation)'!$E$10='CPI(Inflation)'!$C$33,'CPI(Inflation)'!$C34,IF('CPI(Inflation)'!$E$10='CPI(Inflation)'!$D$33,'CPI(Inflation)'!$D34,IF('CPI(Inflation)'!$E$10='CPI(Inflation)'!$E$33,'CPI(Inflation)'!$E34,1))))</f>
        <v>4</v>
      </c>
      <c r="P31" s="86">
        <f>'Baltic Dry Index'!B34</f>
        <v>4</v>
      </c>
      <c r="Q31" s="86">
        <f>IF(VIX!$F$26=VIX!$B$33,VIX!B34,IF(VIX!$F$26=VIX!$C$33,VIX!C34,IF(VIX!$F$26=VIX!$D$33,VIX!D34,IF(VIX!$F$26=VIX!$E$33,VIX!E34,1))))</f>
        <v>1</v>
      </c>
      <c r="R31" s="86">
        <f>IF(Currency!$F$26=Currency!$B$33,Currency!B34,IF(Currency!$F$26=Currency!$C$33,Currency!C34,IF(Currency!$F$26=Currency!$D$33,Currency!D34,IF(Currency!$F$26=Currency!$E$33,Currency!E34,1))))</f>
        <v>4</v>
      </c>
      <c r="S31" s="86">
        <f>IF(Unemployment!$F$26=Unemployment!$B$33,Unemployment!B34,IF(Unemployment!$F$26=Unemployment!$C$33,Unemployment!C34,IF(Unemployment!$F$26=Unemployment!$D$33,Unemployment!D34,IF(Unemployment!$F$26=Unemployment!$E$33,Unemployment!E34,1))))</f>
        <v>4</v>
      </c>
      <c r="T31" s="90">
        <f t="shared" ref="T31:T41" si="1">AVERAGE(L31*0.2222 + M31*0.3056 + N31*0.1667 + O31*0.1389 + R31*0.0556 + S31*0.1111)</f>
        <v>3.6947999999999999</v>
      </c>
    </row>
    <row r="32" spans="2:27" x14ac:dyDescent="0.3">
      <c r="B32" s="53" t="s">
        <v>10</v>
      </c>
      <c r="C32" s="87">
        <f>IF(PMI!$F$31=PMI!$B$43,PMI!$B45,IF(PMI!$F$31=PMI!$C$43,PMI!$C45,IF(PMI!$F$31=PMI!$D$43,PMI!$D45,IF(PMI!$F$31=PMI!$E$43,PMI!$E45,1))))</f>
        <v>2</v>
      </c>
      <c r="D32" s="51">
        <f>BNP!I91</f>
        <v>2</v>
      </c>
      <c r="E32" s="51">
        <f>IF('10 yr rate'!$E$30='10 yr rate'!$B$35,'10 yr rate'!$B37,IF('10 yr rate'!$E$30='10 yr rate'!$C$35,'10 yr rate'!$C37,IF('10 yr rate'!$E$30='10 yr rate'!$D$35,'10 yr rate'!$D37,IF('10 yr rate'!$E$30='10 yr rate'!$E$35,'10 yr rate'!$E37,1))))</f>
        <v>2</v>
      </c>
      <c r="F32" s="51">
        <f>IF('CPI(Inflation)'!$E$9='CPI(Inflation)'!$B$33,'CPI(Inflation)'!$B35,IF('CPI(Inflation)'!$E$9='CPI(Inflation)'!$C$33,'CPI(Inflation)'!$C35,IF('CPI(Inflation)'!$E$9='CPI(Inflation)'!$D$33,'CPI(Inflation)'!$D35,IF('CPI(Inflation)'!$E$9='CPI(Inflation)'!$E$33,'CPI(Inflation)'!$E35,1))))</f>
        <v>2</v>
      </c>
      <c r="G32" s="51">
        <f>'Baltic Dry Index'!B35</f>
        <v>5</v>
      </c>
      <c r="H32" s="51">
        <f>IF(VIX!$F$25=VIX!$B$33,VIX!B35,IF(VIX!$F$25=VIX!$C$33,VIX!C35,IF(VIX!$F$25=VIX!$D$33,VIX!D35,IF(VIX!$F$25=VIX!$E$33,VIX!E35,1))))</f>
        <v>5</v>
      </c>
      <c r="I32" s="51">
        <f>IF(Currency!$F$25=Currency!$B$33,Currency!B35,IF(Currency!$F$25=Currency!$C$33,Currency!C35,IF(Currency!$F$25=Currency!$D$33,Currency!D35,IF(Currency!$F$25=Currency!$E$33,Currency!E35,1))))</f>
        <v>3</v>
      </c>
      <c r="J32" s="51">
        <f>IF(Unemployment!$F$25=Unemployment!$B$33,Unemployment!B35,IF(Unemployment!$F$25=Unemployment!$C$33,Unemployment!C35,IF(Unemployment!$F$25=Unemployment!$D$33,Unemployment!D35,IF(Unemployment!$F$25=Unemployment!$E$33,Unemployment!E35,1))))</f>
        <v>5</v>
      </c>
      <c r="K32" s="90">
        <f t="shared" si="0"/>
        <v>2.3891</v>
      </c>
      <c r="L32" s="87">
        <f>IF(PMI!$F$32=PMI!$B$43,PMI!$B45,IF(PMI!$F$32=PMI!$C$43,PMI!$C45,IF(PMI!$F$32=PMI!$D$43,PMI!$D45,IF(PMI!$F$32=PMI!$E$43,PMI!$E45,1))))</f>
        <v>2</v>
      </c>
      <c r="M32" s="51">
        <f>BNP!J91</f>
        <v>4</v>
      </c>
      <c r="N32" s="51">
        <f>IF('10 yr rate'!$E$31='10 yr rate'!$B$35,'10 yr rate'!$B37,IF('10 yr rate'!$E$31='10 yr rate'!$C$35,'10 yr rate'!$C37,IF('10 yr rate'!$E$31='10 yr rate'!$D$35,'10 yr rate'!$D37,IF('10 yr rate'!$E$31='10 yr rate'!$E$35,'10 yr rate'!$E37,1))))</f>
        <v>2</v>
      </c>
      <c r="O32" s="51">
        <f>IF('CPI(Inflation)'!$E$10='CPI(Inflation)'!$B$33,'CPI(Inflation)'!$B35,IF('CPI(Inflation)'!$E$10='CPI(Inflation)'!$C$33,'CPI(Inflation)'!$C35,IF('CPI(Inflation)'!$E$10='CPI(Inflation)'!$D$33,'CPI(Inflation)'!$D35,IF('CPI(Inflation)'!$E$10='CPI(Inflation)'!$E$33,'CPI(Inflation)'!$E35,1))))</f>
        <v>5</v>
      </c>
      <c r="P32" s="51">
        <f>'Baltic Dry Index'!B35</f>
        <v>5</v>
      </c>
      <c r="Q32" s="51">
        <f>IF(VIX!$F$26=VIX!$B$33,VIX!B35,IF(VIX!$F$26=VIX!$C$33,VIX!C35,IF(VIX!$F$26=VIX!$D$33,VIX!D35,IF(VIX!$F$26=VIX!$E$33,VIX!E35,1))))</f>
        <v>1</v>
      </c>
      <c r="R32" s="51">
        <f>IF(Currency!$F$26=Currency!$B$33,Currency!B35,IF(Currency!$F$26=Currency!$C$33,Currency!C35,IF(Currency!$F$26=Currency!$D$33,Currency!D35,IF(Currency!$F$26=Currency!$E$33,Currency!E35,1))))</f>
        <v>2</v>
      </c>
      <c r="S32" s="51">
        <f>IF(Unemployment!$F$26=Unemployment!$B$33,Unemployment!B35,IF(Unemployment!$F$26=Unemployment!$C$33,Unemployment!C35,IF(Unemployment!$F$26=Unemployment!$D$33,Unemployment!D35,IF(Unemployment!$F$26=Unemployment!$E$33,Unemployment!E35,1))))</f>
        <v>5</v>
      </c>
      <c r="T32" s="90">
        <f t="shared" si="1"/>
        <v>3.3614000000000002</v>
      </c>
    </row>
    <row r="33" spans="2:27" x14ac:dyDescent="0.3">
      <c r="B33" s="53" t="s">
        <v>11</v>
      </c>
      <c r="C33" s="87">
        <f>IF(PMI!$F$31=PMI!$B$43,PMI!$B46,IF(PMI!$F$31=PMI!$C$43,PMI!$C46,IF(PMI!$F$31=PMI!$D$43,PMI!$D46,IF(PMI!$F$31=PMI!$E$43,PMI!$E46,1))))</f>
        <v>4</v>
      </c>
      <c r="D33" s="51">
        <f>BNP!I96</f>
        <v>3</v>
      </c>
      <c r="E33" s="51">
        <f>IF('10 yr rate'!$E$30='10 yr rate'!$B$35,'10 yr rate'!$B38,IF('10 yr rate'!$E$30='10 yr rate'!$C$35,'10 yr rate'!$C38,IF('10 yr rate'!$E$30='10 yr rate'!$D$35,'10 yr rate'!$D38,IF('10 yr rate'!$E$30='10 yr rate'!$E$35,'10 yr rate'!$E38,1))))</f>
        <v>4</v>
      </c>
      <c r="F33" s="51">
        <f>IF('CPI(Inflation)'!$E$9='CPI(Inflation)'!$B$33,'CPI(Inflation)'!$B36,IF('CPI(Inflation)'!$E$9='CPI(Inflation)'!$C$33,'CPI(Inflation)'!$C36,IF('CPI(Inflation)'!$E$9='CPI(Inflation)'!$D$33,'CPI(Inflation)'!$D36,IF('CPI(Inflation)'!$E$9='CPI(Inflation)'!$E$33,'CPI(Inflation)'!$E36,1))))</f>
        <v>4</v>
      </c>
      <c r="G33" s="51">
        <f>'Baltic Dry Index'!B36</f>
        <v>5</v>
      </c>
      <c r="H33" s="51">
        <f>IF(VIX!$F$25=VIX!$B$33,VIX!B36,IF(VIX!$F$25=VIX!$C$33,VIX!C36,IF(VIX!$F$25=VIX!$D$33,VIX!D36,IF(VIX!$F$25=VIX!$E$33,VIX!E36,1))))</f>
        <v>5</v>
      </c>
      <c r="I33" s="51">
        <f>IF(Currency!$F$25=Currency!$B$33,Currency!B36,IF(Currency!$F$25=Currency!$C$33,Currency!C36,IF(Currency!$F$25=Currency!$D$33,Currency!D36,IF(Currency!$F$25=Currency!$E$33,Currency!E36,1))))</f>
        <v>2</v>
      </c>
      <c r="J33" s="51">
        <f>IF(Unemployment!$F$25=Unemployment!$B$33,Unemployment!B36,IF(Unemployment!$F$25=Unemployment!$C$33,Unemployment!C36,IF(Unemployment!$F$25=Unemployment!$D$33,Unemployment!D36,IF(Unemployment!$F$25=Unemployment!$E$33,Unemployment!E36,1))))</f>
        <v>5</v>
      </c>
      <c r="K33" s="90">
        <f t="shared" si="0"/>
        <v>3.6947000000000001</v>
      </c>
      <c r="L33" s="87">
        <f>IF(PMI!$F$32=PMI!$B$43,PMI!$B46,IF(PMI!$F$32=PMI!$C$43,PMI!$C46,IF(PMI!$F$32=PMI!$D$43,PMI!$D46,IF(PMI!$F$32=PMI!$E$43,PMI!$E46,1))))</f>
        <v>4</v>
      </c>
      <c r="M33" s="51">
        <f>BNP!J96</f>
        <v>1</v>
      </c>
      <c r="N33" s="51">
        <f>IF('10 yr rate'!$E$31='10 yr rate'!$B$35,'10 yr rate'!$B38,IF('10 yr rate'!$E$31='10 yr rate'!$C$35,'10 yr rate'!$C38,IF('10 yr rate'!$E$31='10 yr rate'!$D$35,'10 yr rate'!$D38,IF('10 yr rate'!$E$31='10 yr rate'!$E$35,'10 yr rate'!$E38,1))))</f>
        <v>4</v>
      </c>
      <c r="O33" s="51">
        <f>IF('CPI(Inflation)'!$E$10='CPI(Inflation)'!$B$33,'CPI(Inflation)'!$B36,IF('CPI(Inflation)'!$E$10='CPI(Inflation)'!$C$33,'CPI(Inflation)'!$C36,IF('CPI(Inflation)'!$E$10='CPI(Inflation)'!$D$33,'CPI(Inflation)'!$D36,IF('CPI(Inflation)'!$E$10='CPI(Inflation)'!$E$33,'CPI(Inflation)'!$E36,1))))</f>
        <v>5</v>
      </c>
      <c r="P33" s="51">
        <f>'Baltic Dry Index'!B36</f>
        <v>5</v>
      </c>
      <c r="Q33" s="51">
        <f>IF(VIX!$F$26=VIX!$B$33,VIX!B36,IF(VIX!$F$26=VIX!$C$33,VIX!C36,IF(VIX!$F$26=VIX!$D$33,VIX!D36,IF(VIX!$F$26=VIX!$E$33,VIX!E36,1))))</f>
        <v>1</v>
      </c>
      <c r="R33" s="51">
        <f>IF(Currency!$F$26=Currency!$B$33,Currency!B36,IF(Currency!$F$26=Currency!$C$33,Currency!C36,IF(Currency!$F$26=Currency!$D$33,Currency!D36,IF(Currency!$F$26=Currency!$E$33,Currency!E36,1))))</f>
        <v>4</v>
      </c>
      <c r="S33" s="51">
        <f>IF(Unemployment!$F$26=Unemployment!$B$33,Unemployment!B36,IF(Unemployment!$F$26=Unemployment!$C$33,Unemployment!C36,IF(Unemployment!$F$26=Unemployment!$D$33,Unemployment!D36,IF(Unemployment!$F$26=Unemployment!$E$33,Unemployment!E36,1))))</f>
        <v>5</v>
      </c>
      <c r="T33" s="90">
        <f t="shared" si="1"/>
        <v>3.3335999999999997</v>
      </c>
    </row>
    <row r="34" spans="2:27" x14ac:dyDescent="0.3">
      <c r="B34" s="53" t="s">
        <v>12</v>
      </c>
      <c r="C34" s="87">
        <f>IF(PMI!$F$31=PMI!$B$43,PMI!$B47,IF(PMI!$F$31=PMI!$C$43,PMI!$C47,IF(PMI!$F$31=PMI!$D$43,PMI!$D47,IF(PMI!$F$31=PMI!$E$43,PMI!$E47,1))))</f>
        <v>5</v>
      </c>
      <c r="D34" s="51">
        <f>BNP!I101</f>
        <v>4</v>
      </c>
      <c r="E34" s="51">
        <f>IF('10 yr rate'!$E$30='10 yr rate'!$B$35,'10 yr rate'!$B39,IF('10 yr rate'!$E$30='10 yr rate'!$C$35,'10 yr rate'!$C39,IF('10 yr rate'!$E$30='10 yr rate'!$D$35,'10 yr rate'!$D39,IF('10 yr rate'!$E$30='10 yr rate'!$E$35,'10 yr rate'!$E39,1))))</f>
        <v>5</v>
      </c>
      <c r="F34" s="51">
        <f>IF('CPI(Inflation)'!$E$9='CPI(Inflation)'!$B$33,'CPI(Inflation)'!$B37,IF('CPI(Inflation)'!$E$9='CPI(Inflation)'!$C$33,'CPI(Inflation)'!$C37,IF('CPI(Inflation)'!$E$9='CPI(Inflation)'!$D$33,'CPI(Inflation)'!$D37,IF('CPI(Inflation)'!$E$9='CPI(Inflation)'!$E$33,'CPI(Inflation)'!$E37,1))))</f>
        <v>5</v>
      </c>
      <c r="G34" s="51">
        <f>'Baltic Dry Index'!B37</f>
        <v>4</v>
      </c>
      <c r="H34" s="51">
        <f>IF(VIX!$F$25=VIX!$B$33,VIX!B37,IF(VIX!$F$25=VIX!$C$33,VIX!C37,IF(VIX!$F$25=VIX!$D$33,VIX!D37,IF(VIX!$F$25=VIX!$E$33,VIX!E37,1))))</f>
        <v>4</v>
      </c>
      <c r="I34" s="51">
        <f>IF(Currency!$F$25=Currency!$B$33,Currency!B37,IF(Currency!$F$25=Currency!$C$33,Currency!C37,IF(Currency!$F$25=Currency!$D$33,Currency!D37,IF(Currency!$F$25=Currency!$E$33,Currency!E37,1))))</f>
        <v>3</v>
      </c>
      <c r="J34" s="51">
        <f>IF(Unemployment!$F$25=Unemployment!$B$33,Unemployment!B37,IF(Unemployment!$F$25=Unemployment!$C$33,Unemployment!C37,IF(Unemployment!$F$25=Unemployment!$D$33,Unemployment!D37,IF(Unemployment!$F$25=Unemployment!$E$33,Unemployment!E37,1))))</f>
        <v>4</v>
      </c>
      <c r="K34" s="90">
        <f t="shared" si="0"/>
        <v>4.4725999999999999</v>
      </c>
      <c r="L34" s="87">
        <f>IF(PMI!$F$32=PMI!$B$43,PMI!$B47,IF(PMI!$F$32=PMI!$C$43,PMI!$C47,IF(PMI!$F$32=PMI!$D$43,PMI!$D47,IF(PMI!$F$32=PMI!$E$43,PMI!$E47,1))))</f>
        <v>5</v>
      </c>
      <c r="M34" s="51">
        <f>BNP!J101</f>
        <v>2</v>
      </c>
      <c r="N34" s="51">
        <f>IF('10 yr rate'!$E$31='10 yr rate'!$B$35,'10 yr rate'!$B39,IF('10 yr rate'!$E$31='10 yr rate'!$C$35,'10 yr rate'!$C39,IF('10 yr rate'!$E$31='10 yr rate'!$D$35,'10 yr rate'!$D39,IF('10 yr rate'!$E$31='10 yr rate'!$E$35,'10 yr rate'!$E39,1))))</f>
        <v>5</v>
      </c>
      <c r="O34" s="51">
        <f>IF('CPI(Inflation)'!$E$10='CPI(Inflation)'!$B$33,'CPI(Inflation)'!$B37,IF('CPI(Inflation)'!$E$10='CPI(Inflation)'!$C$33,'CPI(Inflation)'!$C37,IF('CPI(Inflation)'!$E$10='CPI(Inflation)'!$D$33,'CPI(Inflation)'!$D37,IF('CPI(Inflation)'!$E$10='CPI(Inflation)'!$E$33,'CPI(Inflation)'!$E37,1))))</f>
        <v>4</v>
      </c>
      <c r="P34" s="51">
        <f>'Baltic Dry Index'!B37</f>
        <v>4</v>
      </c>
      <c r="Q34" s="51">
        <f>IF(VIX!$F$26=VIX!$B$33,VIX!B37,IF(VIX!$F$26=VIX!$C$33,VIX!C37,IF(VIX!$F$26=VIX!$D$33,VIX!D37,IF(VIX!$F$26=VIX!$E$33,VIX!E37,1))))</f>
        <v>1</v>
      </c>
      <c r="R34" s="51">
        <f>IF(Currency!$F$26=Currency!$B$33,Currency!B37,IF(Currency!$F$26=Currency!$C$33,Currency!C37,IF(Currency!$F$26=Currency!$D$33,Currency!D37,IF(Currency!$F$26=Currency!$E$33,Currency!E37,1))))</f>
        <v>5</v>
      </c>
      <c r="S34" s="51">
        <f>IF(Unemployment!$F$26=Unemployment!$B$33,Unemployment!B37,IF(Unemployment!$F$26=Unemployment!$C$33,Unemployment!C37,IF(Unemployment!$F$26=Unemployment!$D$33,Unemployment!D37,IF(Unemployment!$F$26=Unemployment!$E$33,Unemployment!E37,1))))</f>
        <v>4</v>
      </c>
      <c r="T34" s="90">
        <f t="shared" si="1"/>
        <v>3.8336999999999999</v>
      </c>
    </row>
    <row r="35" spans="2:27" x14ac:dyDescent="0.3">
      <c r="B35" s="53" t="s">
        <v>13</v>
      </c>
      <c r="C35" s="87">
        <f>IF(PMI!$F$31=PMI!$B$43,PMI!$B48,IF(PMI!$F$31=PMI!$C$43,PMI!$C48,IF(PMI!$F$31=PMI!$D$43,PMI!$D48,IF(PMI!$F$31=PMI!$E$43,PMI!$E48,1))))</f>
        <v>4</v>
      </c>
      <c r="D35" s="51">
        <f>BNP!I106</f>
        <v>3</v>
      </c>
      <c r="E35" s="51">
        <f>IF('10 yr rate'!$E$30='10 yr rate'!$B$35,'10 yr rate'!$B40,IF('10 yr rate'!$E$30='10 yr rate'!$C$35,'10 yr rate'!$C40,IF('10 yr rate'!$E$30='10 yr rate'!$D$35,'10 yr rate'!$D40,IF('10 yr rate'!$E$30='10 yr rate'!$E$35,'10 yr rate'!$E40,1))))</f>
        <v>4</v>
      </c>
      <c r="F35" s="51">
        <f>IF('CPI(Inflation)'!$E$9='CPI(Inflation)'!$B$33,'CPI(Inflation)'!$B38,IF('CPI(Inflation)'!$E$9='CPI(Inflation)'!$C$33,'CPI(Inflation)'!$C38,IF('CPI(Inflation)'!$E$9='CPI(Inflation)'!$D$33,'CPI(Inflation)'!$D38,IF('CPI(Inflation)'!$E$9='CPI(Inflation)'!$E$33,'CPI(Inflation)'!$E38,1))))</f>
        <v>4</v>
      </c>
      <c r="G35" s="51">
        <f>'Baltic Dry Index'!B38</f>
        <v>5</v>
      </c>
      <c r="H35" s="51">
        <f>IF(VIX!$F$25=VIX!$B$33,VIX!B38,IF(VIX!$F$25=VIX!$C$33,VIX!C38,IF(VIX!$F$25=VIX!$D$33,VIX!D38,IF(VIX!$F$25=VIX!$E$33,VIX!E38,1))))</f>
        <v>5</v>
      </c>
      <c r="I35" s="51">
        <f>IF(Currency!$F$25=Currency!$B$33,Currency!B38,IF(Currency!$F$25=Currency!$C$33,Currency!C38,IF(Currency!$F$25=Currency!$D$33,Currency!D38,IF(Currency!$F$25=Currency!$E$33,Currency!E38,1))))</f>
        <v>2</v>
      </c>
      <c r="J35" s="51">
        <f>IF(Unemployment!$F$25=Unemployment!$B$33,Unemployment!B38,IF(Unemployment!$F$25=Unemployment!$C$33,Unemployment!C38,IF(Unemployment!$F$25=Unemployment!$D$33,Unemployment!D38,IF(Unemployment!$F$25=Unemployment!$E$33,Unemployment!E38,1))))</f>
        <v>5</v>
      </c>
      <c r="K35" s="90">
        <f t="shared" si="0"/>
        <v>3.6947000000000001</v>
      </c>
      <c r="L35" s="87">
        <f>IF(PMI!$F$32=PMI!$B$43,PMI!$B48,IF(PMI!$F$32=PMI!$C$43,PMI!$C48,IF(PMI!$F$32=PMI!$D$43,PMI!$D48,IF(PMI!$F$32=PMI!$E$43,PMI!$E48,1))))</f>
        <v>4</v>
      </c>
      <c r="M35" s="51">
        <f>BNP!J106</f>
        <v>3</v>
      </c>
      <c r="N35" s="51">
        <f>IF('10 yr rate'!$E$31='10 yr rate'!$B$35,'10 yr rate'!$B40,IF('10 yr rate'!$E$31='10 yr rate'!$C$35,'10 yr rate'!$C40,IF('10 yr rate'!$E$31='10 yr rate'!$D$35,'10 yr rate'!$D40,IF('10 yr rate'!$E$31='10 yr rate'!$E$35,'10 yr rate'!$E40,1))))</f>
        <v>4</v>
      </c>
      <c r="O35" s="51">
        <f>IF('CPI(Inflation)'!$E$10='CPI(Inflation)'!$B$33,'CPI(Inflation)'!$B38,IF('CPI(Inflation)'!$E$10='CPI(Inflation)'!$C$33,'CPI(Inflation)'!$C38,IF('CPI(Inflation)'!$E$10='CPI(Inflation)'!$D$33,'CPI(Inflation)'!$D38,IF('CPI(Inflation)'!$E$10='CPI(Inflation)'!$E$33,'CPI(Inflation)'!$E38,1))))</f>
        <v>5</v>
      </c>
      <c r="P35" s="51">
        <f>'Baltic Dry Index'!B38</f>
        <v>5</v>
      </c>
      <c r="Q35" s="51">
        <f>IF(VIX!$F$26=VIX!$B$33,VIX!B38,IF(VIX!$F$26=VIX!$C$33,VIX!C38,IF(VIX!$F$26=VIX!$D$33,VIX!D38,IF(VIX!$F$26=VIX!$E$33,VIX!E38,1))))</f>
        <v>1</v>
      </c>
      <c r="R35" s="51">
        <f>IF(Currency!$F$26=Currency!$B$33,Currency!B38,IF(Currency!$F$26=Currency!$C$33,Currency!C38,IF(Currency!$F$26=Currency!$D$33,Currency!D38,IF(Currency!$F$26=Currency!$E$33,Currency!E38,1))))</f>
        <v>4</v>
      </c>
      <c r="S35" s="51">
        <f>IF(Unemployment!$F$26=Unemployment!$B$33,Unemployment!B38,IF(Unemployment!$F$26=Unemployment!$C$33,Unemployment!C38,IF(Unemployment!$F$26=Unemployment!$D$33,Unemployment!D38,IF(Unemployment!$F$26=Unemployment!$E$33,Unemployment!E38,1))))</f>
        <v>5</v>
      </c>
      <c r="T35" s="90">
        <f t="shared" si="1"/>
        <v>3.9447999999999999</v>
      </c>
    </row>
    <row r="36" spans="2:27" x14ac:dyDescent="0.3">
      <c r="B36" s="53" t="s">
        <v>14</v>
      </c>
      <c r="C36" s="87">
        <f>IF(PMI!$F$31=PMI!$B$43,PMI!$B49,IF(PMI!$F$31=PMI!$C$43,PMI!$C49,IF(PMI!$F$31=PMI!$D$43,PMI!$D49,IF(PMI!$F$31=PMI!$E$43,PMI!$E49,1))))</f>
        <v>2</v>
      </c>
      <c r="D36" s="51">
        <f>BNP!I116</f>
        <v>2</v>
      </c>
      <c r="E36" s="51">
        <f>IF('10 yr rate'!$E$30='10 yr rate'!$B$35,'10 yr rate'!$B41,IF('10 yr rate'!$E$30='10 yr rate'!$C$35,'10 yr rate'!$C41,IF('10 yr rate'!$E$30='10 yr rate'!$D$35,'10 yr rate'!$D41,IF('10 yr rate'!$E$30='10 yr rate'!$E$35,'10 yr rate'!$E41,1))))</f>
        <v>2</v>
      </c>
      <c r="F36" s="51">
        <f>IF('CPI(Inflation)'!$E$9='CPI(Inflation)'!$B$33,'CPI(Inflation)'!$B39,IF('CPI(Inflation)'!$E$9='CPI(Inflation)'!$C$33,'CPI(Inflation)'!$C39,IF('CPI(Inflation)'!$E$9='CPI(Inflation)'!$D$33,'CPI(Inflation)'!$D39,IF('CPI(Inflation)'!$E$9='CPI(Inflation)'!$E$33,'CPI(Inflation)'!$E39,1))))</f>
        <v>2</v>
      </c>
      <c r="G36" s="51">
        <f>'Baltic Dry Index'!B39</f>
        <v>4</v>
      </c>
      <c r="H36" s="51">
        <f>IF(VIX!$F$25=VIX!$B$33,VIX!B39,IF(VIX!$F$25=VIX!$C$33,VIX!C39,IF(VIX!$F$25=VIX!$D$33,VIX!D39,IF(VIX!$F$25=VIX!$E$33,VIX!E39,1))))</f>
        <v>4</v>
      </c>
      <c r="I36" s="51">
        <f>IF(Currency!$F$25=Currency!$B$33,Currency!B39,IF(Currency!$F$25=Currency!$C$33,Currency!C39,IF(Currency!$F$25=Currency!$D$33,Currency!D39,IF(Currency!$F$25=Currency!$E$33,Currency!E39,1))))</f>
        <v>3</v>
      </c>
      <c r="J36" s="51">
        <f>IF(Unemployment!$F$25=Unemployment!$B$33,Unemployment!B39,IF(Unemployment!$F$25=Unemployment!$C$33,Unemployment!C39,IF(Unemployment!$F$25=Unemployment!$D$33,Unemployment!D39,IF(Unemployment!$F$25=Unemployment!$E$33,Unemployment!E39,1))))</f>
        <v>4</v>
      </c>
      <c r="K36" s="90">
        <f t="shared" si="0"/>
        <v>2.278</v>
      </c>
      <c r="L36" s="87">
        <f>IF(PMI!$F$32=PMI!$B$43,PMI!$B49,IF(PMI!$F$32=PMI!$C$43,PMI!$C49,IF(PMI!$F$32=PMI!$D$43,PMI!$D49,IF(PMI!$F$32=PMI!$E$43,PMI!$E49,1))))</f>
        <v>2</v>
      </c>
      <c r="M36" s="51">
        <f>BNP!J116</f>
        <v>4</v>
      </c>
      <c r="N36" s="51">
        <f>IF('10 yr rate'!$E$31='10 yr rate'!$B$35,'10 yr rate'!$B41,IF('10 yr rate'!$E$31='10 yr rate'!$C$35,'10 yr rate'!$C41,IF('10 yr rate'!$E$31='10 yr rate'!$D$35,'10 yr rate'!$D41,IF('10 yr rate'!$E$31='10 yr rate'!$E$35,'10 yr rate'!$E41,1))))</f>
        <v>2</v>
      </c>
      <c r="O36" s="51">
        <f>IF('CPI(Inflation)'!$E$10='CPI(Inflation)'!$B$33,'CPI(Inflation)'!$B39,IF('CPI(Inflation)'!$E$10='CPI(Inflation)'!$C$33,'CPI(Inflation)'!$C39,IF('CPI(Inflation)'!$E$10='CPI(Inflation)'!$D$33,'CPI(Inflation)'!$D39,IF('CPI(Inflation)'!$E$10='CPI(Inflation)'!$E$33,'CPI(Inflation)'!$E39,1))))</f>
        <v>4</v>
      </c>
      <c r="P36" s="51">
        <f>'Baltic Dry Index'!B39</f>
        <v>4</v>
      </c>
      <c r="Q36" s="51">
        <f>IF(VIX!$F$26=VIX!$B$33,VIX!B39,IF(VIX!$F$26=VIX!$C$33,VIX!C39,IF(VIX!$F$26=VIX!$D$33,VIX!D39,IF(VIX!$F$26=VIX!$E$33,VIX!E39,1))))</f>
        <v>2</v>
      </c>
      <c r="R36" s="51">
        <f>IF(Currency!$F$26=Currency!$B$33,Currency!B39,IF(Currency!$F$26=Currency!$C$33,Currency!C39,IF(Currency!$F$26=Currency!$D$33,Currency!D39,IF(Currency!$F$26=Currency!$E$33,Currency!E39,1))))</f>
        <v>2</v>
      </c>
      <c r="S36" s="51">
        <f>IF(Unemployment!$F$26=Unemployment!$B$33,Unemployment!B39,IF(Unemployment!$F$26=Unemployment!$C$33,Unemployment!C39,IF(Unemployment!$F$26=Unemployment!$D$33,Unemployment!D39,IF(Unemployment!$F$26=Unemployment!$E$33,Unemployment!E39,1))))</f>
        <v>4</v>
      </c>
      <c r="T36" s="90">
        <f t="shared" si="1"/>
        <v>3.1114000000000002</v>
      </c>
    </row>
    <row r="37" spans="2:27" x14ac:dyDescent="0.3">
      <c r="B37" s="53" t="s">
        <v>15</v>
      </c>
      <c r="C37" s="87">
        <f>IF(PMI!$F$31=PMI!$B$43,PMI!$B50,IF(PMI!$F$31=PMI!$C$43,PMI!$C50,IF(PMI!$F$31=PMI!$D$43,PMI!$D50,IF(PMI!$F$31=PMI!$E$43,PMI!$E50,1))))</f>
        <v>2</v>
      </c>
      <c r="D37" s="51">
        <f>BNP!I121</f>
        <v>3</v>
      </c>
      <c r="E37" s="51">
        <f>IF('10 yr rate'!$E$30='10 yr rate'!$B$35,'10 yr rate'!$B42,IF('10 yr rate'!$E$30='10 yr rate'!$C$35,'10 yr rate'!$C42,IF('10 yr rate'!$E$30='10 yr rate'!$D$35,'10 yr rate'!$D42,IF('10 yr rate'!$E$30='10 yr rate'!$E$35,'10 yr rate'!$E42,1))))</f>
        <v>2</v>
      </c>
      <c r="F37" s="51">
        <f>IF('CPI(Inflation)'!$E$9='CPI(Inflation)'!$B$33,'CPI(Inflation)'!$B40,IF('CPI(Inflation)'!$E$9='CPI(Inflation)'!$C$33,'CPI(Inflation)'!$C40,IF('CPI(Inflation)'!$E$9='CPI(Inflation)'!$D$33,'CPI(Inflation)'!$D40,IF('CPI(Inflation)'!$E$9='CPI(Inflation)'!$E$33,'CPI(Inflation)'!$E40,1))))</f>
        <v>2</v>
      </c>
      <c r="G37" s="51">
        <f>'Baltic Dry Index'!B40</f>
        <v>2</v>
      </c>
      <c r="H37" s="51">
        <f>IF(VIX!$F$25=VIX!$B$33,VIX!B40,IF(VIX!$F$25=VIX!$C$33,VIX!C40,IF(VIX!$F$25=VIX!$D$33,VIX!D40,IF(VIX!$F$25=VIX!$E$33,VIX!E40,1))))</f>
        <v>2</v>
      </c>
      <c r="I37" s="51">
        <f>IF(Currency!$F$25=Currency!$B$33,Currency!B40,IF(Currency!$F$25=Currency!$C$33,Currency!C40,IF(Currency!$F$25=Currency!$D$33,Currency!D40,IF(Currency!$F$25=Currency!$E$33,Currency!E40,1))))</f>
        <v>4</v>
      </c>
      <c r="J37" s="51">
        <f>IF(Unemployment!$F$25=Unemployment!$B$33,Unemployment!B40,IF(Unemployment!$F$25=Unemployment!$C$33,Unemployment!C40,IF(Unemployment!$F$25=Unemployment!$D$33,Unemployment!D40,IF(Unemployment!$F$25=Unemployment!$E$33,Unemployment!E40,1))))</f>
        <v>2</v>
      </c>
      <c r="K37" s="90">
        <f t="shared" si="0"/>
        <v>2.4169999999999998</v>
      </c>
      <c r="L37" s="87">
        <f>IF(PMI!$F$32=PMI!$B$43,PMI!$B50,IF(PMI!$F$32=PMI!$C$43,PMI!$C50,IF(PMI!$F$32=PMI!$D$43,PMI!$D50,IF(PMI!$F$32=PMI!$E$43,PMI!$E50,1))))</f>
        <v>2</v>
      </c>
      <c r="M37" s="51">
        <f>BNP!J121</f>
        <v>3</v>
      </c>
      <c r="N37" s="51">
        <f>IF('10 yr rate'!$E$31='10 yr rate'!$B$35,'10 yr rate'!$B42,IF('10 yr rate'!$E$31='10 yr rate'!$C$35,'10 yr rate'!$C42,IF('10 yr rate'!$E$31='10 yr rate'!$D$35,'10 yr rate'!$D42,IF('10 yr rate'!$E$31='10 yr rate'!$E$35,'10 yr rate'!$E42,1))))</f>
        <v>2</v>
      </c>
      <c r="O37" s="51">
        <f>IF('CPI(Inflation)'!$E$10='CPI(Inflation)'!$B$33,'CPI(Inflation)'!$B40,IF('CPI(Inflation)'!$E$10='CPI(Inflation)'!$C$33,'CPI(Inflation)'!$C40,IF('CPI(Inflation)'!$E$10='CPI(Inflation)'!$D$33,'CPI(Inflation)'!$D40,IF('CPI(Inflation)'!$E$10='CPI(Inflation)'!$E$33,'CPI(Inflation)'!$E40,1))))</f>
        <v>2</v>
      </c>
      <c r="P37" s="51">
        <f>'Baltic Dry Index'!B40</f>
        <v>2</v>
      </c>
      <c r="Q37" s="51">
        <f>IF(VIX!$F$26=VIX!$B$33,VIX!B40,IF(VIX!$F$26=VIX!$C$33,VIX!C40,IF(VIX!$F$26=VIX!$D$33,VIX!D40,IF(VIX!$F$26=VIX!$E$33,VIX!E40,1))))</f>
        <v>5</v>
      </c>
      <c r="R37" s="51">
        <f>IF(Currency!$F$26=Currency!$B$33,Currency!B40,IF(Currency!$F$26=Currency!$C$33,Currency!C40,IF(Currency!$F$26=Currency!$D$33,Currency!D40,IF(Currency!$F$26=Currency!$E$33,Currency!E40,1))))</f>
        <v>2</v>
      </c>
      <c r="S37" s="51">
        <f>IF(Unemployment!$F$26=Unemployment!$B$33,Unemployment!B40,IF(Unemployment!$F$26=Unemployment!$C$33,Unemployment!C40,IF(Unemployment!$F$26=Unemployment!$D$33,Unemployment!D40,IF(Unemployment!$F$26=Unemployment!$E$33,Unemployment!E40,1))))</f>
        <v>2</v>
      </c>
      <c r="T37" s="90">
        <f t="shared" si="1"/>
        <v>2.3058000000000001</v>
      </c>
    </row>
    <row r="38" spans="2:27" x14ac:dyDescent="0.3">
      <c r="B38" s="53" t="s">
        <v>16</v>
      </c>
      <c r="C38" s="87">
        <f>IF(PMI!$F$31=PMI!$B$43,PMI!$B51,IF(PMI!$F$31=PMI!$C$43,PMI!$C51,IF(PMI!$F$31=PMI!$D$43,PMI!$D51,IF(PMI!$F$31=PMI!$E$43,PMI!$E51,1))))</f>
        <v>3</v>
      </c>
      <c r="D38" s="51">
        <f>BNP!I121</f>
        <v>3</v>
      </c>
      <c r="E38" s="51">
        <f>IF('10 yr rate'!$E$30='10 yr rate'!$B$35,'10 yr rate'!$B43,IF('10 yr rate'!$E$30='10 yr rate'!$C$35,'10 yr rate'!$C43,IF('10 yr rate'!$E$30='10 yr rate'!$D$35,'10 yr rate'!$D43,IF('10 yr rate'!$E$30='10 yr rate'!$E$35,'10 yr rate'!$E43,1))))</f>
        <v>3</v>
      </c>
      <c r="F38" s="51">
        <f>IF('CPI(Inflation)'!$E$9='CPI(Inflation)'!$B$33,'CPI(Inflation)'!$B41,IF('CPI(Inflation)'!$E$9='CPI(Inflation)'!$C$33,'CPI(Inflation)'!$C41,IF('CPI(Inflation)'!$E$9='CPI(Inflation)'!$D$33,'CPI(Inflation)'!$D41,IF('CPI(Inflation)'!$E$9='CPI(Inflation)'!$E$33,'CPI(Inflation)'!$E41,1))))</f>
        <v>3</v>
      </c>
      <c r="G38" s="51">
        <f>'Baltic Dry Index'!B41</f>
        <v>2</v>
      </c>
      <c r="H38" s="51">
        <f>IF(VIX!$F$25=VIX!$B$33,VIX!B41,IF(VIX!$F$25=VIX!$C$33,VIX!C41,IF(VIX!$F$25=VIX!$D$33,VIX!D41,IF(VIX!$F$25=VIX!$E$33,VIX!E41,1))))</f>
        <v>2</v>
      </c>
      <c r="I38" s="51">
        <f>IF(Currency!$F$25=Currency!$B$33,Currency!B41,IF(Currency!$F$25=Currency!$C$33,Currency!C41,IF(Currency!$F$25=Currency!$D$33,Currency!D41,IF(Currency!$F$25=Currency!$E$33,Currency!E41,1))))</f>
        <v>3</v>
      </c>
      <c r="J38" s="51">
        <f>IF(Unemployment!$F$25=Unemployment!$B$33,Unemployment!B41,IF(Unemployment!$F$25=Unemployment!$C$33,Unemployment!C41,IF(Unemployment!$F$25=Unemployment!$D$33,Unemployment!D41,IF(Unemployment!$F$25=Unemployment!$E$33,Unemployment!E41,1))))</f>
        <v>2</v>
      </c>
      <c r="K38" s="90">
        <f t="shared" si="0"/>
        <v>2.8891999999999998</v>
      </c>
      <c r="L38" s="87">
        <f>IF(PMI!$F$32=PMI!$B$43,PMI!$B51,IF(PMI!$F$32=PMI!$C$43,PMI!$C51,IF(PMI!$F$32=PMI!$D$43,PMI!$D51,IF(PMI!$F$32=PMI!$E$43,PMI!$E51,1))))</f>
        <v>3</v>
      </c>
      <c r="M38" s="51">
        <f>BNP!J121</f>
        <v>3</v>
      </c>
      <c r="N38" s="51">
        <f>IF('10 yr rate'!$E$31='10 yr rate'!$B$35,'10 yr rate'!$B43,IF('10 yr rate'!$E$31='10 yr rate'!$C$35,'10 yr rate'!$C43,IF('10 yr rate'!$E$31='10 yr rate'!$D$35,'10 yr rate'!$D43,IF('10 yr rate'!$E$31='10 yr rate'!$E$35,'10 yr rate'!$E43,1))))</f>
        <v>3</v>
      </c>
      <c r="O38" s="51">
        <f>IF('CPI(Inflation)'!$E$10='CPI(Inflation)'!$B$33,'CPI(Inflation)'!$B41,IF('CPI(Inflation)'!$E$10='CPI(Inflation)'!$C$33,'CPI(Inflation)'!$C41,IF('CPI(Inflation)'!$E$10='CPI(Inflation)'!$D$33,'CPI(Inflation)'!$D41,IF('CPI(Inflation)'!$E$10='CPI(Inflation)'!$E$33,'CPI(Inflation)'!$E41,1))))</f>
        <v>2</v>
      </c>
      <c r="P38" s="51">
        <f>'Baltic Dry Index'!B41</f>
        <v>2</v>
      </c>
      <c r="Q38" s="51">
        <f>IF(VIX!$F$26=VIX!$B$33,VIX!B41,IF(VIX!$F$26=VIX!$C$33,VIX!C41,IF(VIX!$F$26=VIX!$D$33,VIX!D41,IF(VIX!$F$26=VIX!$E$33,VIX!E41,1))))</f>
        <v>5</v>
      </c>
      <c r="R38" s="51">
        <f>IF(Currency!$F$26=Currency!$B$33,Currency!B41,IF(Currency!$F$26=Currency!$C$33,Currency!C41,IF(Currency!$F$26=Currency!$D$33,Currency!D41,IF(Currency!$F$26=Currency!$E$33,Currency!E41,1))))</f>
        <v>3</v>
      </c>
      <c r="S38" s="51">
        <f>IF(Unemployment!$F$26=Unemployment!$B$33,Unemployment!B41,IF(Unemployment!$F$26=Unemployment!$C$33,Unemployment!C41,IF(Unemployment!$F$26=Unemployment!$D$33,Unemployment!D41,IF(Unemployment!$F$26=Unemployment!$E$33,Unemployment!E41,1))))</f>
        <v>2</v>
      </c>
      <c r="T38" s="90">
        <f t="shared" si="1"/>
        <v>2.7502999999999997</v>
      </c>
    </row>
    <row r="39" spans="2:27" x14ac:dyDescent="0.3">
      <c r="B39" s="53" t="s">
        <v>17</v>
      </c>
      <c r="C39" s="87">
        <f>IF(PMI!$F$31=PMI!$B$43,PMI!$B52,IF(PMI!$F$31=PMI!$C$43,PMI!$C52,IF(PMI!$F$31=PMI!$D$43,PMI!$D52,IF(PMI!$F$31=PMI!$E$43,PMI!$E52,1))))</f>
        <v>3</v>
      </c>
      <c r="D39" s="51">
        <f>BNP!I126</f>
        <v>3</v>
      </c>
      <c r="E39" s="51">
        <f>IF('10 yr rate'!$E$30='10 yr rate'!$B$35,'10 yr rate'!$B44,IF('10 yr rate'!$E$30='10 yr rate'!$C$35,'10 yr rate'!$C44,IF('10 yr rate'!$E$30='10 yr rate'!$D$35,'10 yr rate'!$D44,IF('10 yr rate'!$E$30='10 yr rate'!$E$35,'10 yr rate'!$E44,1))))</f>
        <v>3</v>
      </c>
      <c r="F39" s="51">
        <f>IF('CPI(Inflation)'!$E$9='CPI(Inflation)'!$B$33,'CPI(Inflation)'!$B42,IF('CPI(Inflation)'!$E$9='CPI(Inflation)'!$C$33,'CPI(Inflation)'!$C42,IF('CPI(Inflation)'!$E$9='CPI(Inflation)'!$D$33,'CPI(Inflation)'!$D42,IF('CPI(Inflation)'!$E$9='CPI(Inflation)'!$E$33,'CPI(Inflation)'!$E42,1))))</f>
        <v>3</v>
      </c>
      <c r="G39" s="51">
        <f>'Baltic Dry Index'!B42</f>
        <v>2</v>
      </c>
      <c r="H39" s="51">
        <f>IF(VIX!$F$25=VIX!$B$33,VIX!B42,IF(VIX!$F$25=VIX!$C$33,VIX!C42,IF(VIX!$F$25=VIX!$D$33,VIX!D42,IF(VIX!$F$25=VIX!$E$33,VIX!E42,1))))</f>
        <v>2</v>
      </c>
      <c r="I39" s="51">
        <f>IF(Currency!$F$25=Currency!$B$33,Currency!B42,IF(Currency!$F$25=Currency!$C$33,Currency!C42,IF(Currency!$F$25=Currency!$D$33,Currency!D42,IF(Currency!$F$25=Currency!$E$33,Currency!E42,1))))</f>
        <v>5</v>
      </c>
      <c r="J39" s="51">
        <f>IF(Unemployment!$F$25=Unemployment!$B$33,Unemployment!B42,IF(Unemployment!$F$25=Unemployment!$C$33,Unemployment!C42,IF(Unemployment!$F$25=Unemployment!$D$33,Unemployment!D42,IF(Unemployment!$F$25=Unemployment!$E$33,Unemployment!E42,1))))</f>
        <v>2</v>
      </c>
      <c r="K39" s="90">
        <f t="shared" si="0"/>
        <v>3.0004</v>
      </c>
      <c r="L39" s="87">
        <f>IF(PMI!$F$32=PMI!$B$43,PMI!$B52,IF(PMI!$F$32=PMI!$C$43,PMI!$C52,IF(PMI!$F$32=PMI!$D$43,PMI!$D52,IF(PMI!$F$32=PMI!$E$43,PMI!$E52,1))))</f>
        <v>3</v>
      </c>
      <c r="M39" s="51">
        <f>BNP!J126</f>
        <v>5</v>
      </c>
      <c r="N39" s="51">
        <f>IF('10 yr rate'!$E$31='10 yr rate'!$B$35,'10 yr rate'!$B44,IF('10 yr rate'!$E$31='10 yr rate'!$C$35,'10 yr rate'!$C44,IF('10 yr rate'!$E$31='10 yr rate'!$D$35,'10 yr rate'!$D44,IF('10 yr rate'!$E$31='10 yr rate'!$E$35,'10 yr rate'!$E44,1))))</f>
        <v>3</v>
      </c>
      <c r="O39" s="51">
        <f>IF('CPI(Inflation)'!$E$10='CPI(Inflation)'!$B$33,'CPI(Inflation)'!$B42,IF('CPI(Inflation)'!$E$10='CPI(Inflation)'!$C$33,'CPI(Inflation)'!$C42,IF('CPI(Inflation)'!$E$10='CPI(Inflation)'!$D$33,'CPI(Inflation)'!$D42,IF('CPI(Inflation)'!$E$10='CPI(Inflation)'!$E$33,'CPI(Inflation)'!$E42,1))))</f>
        <v>2</v>
      </c>
      <c r="P39" s="51">
        <f>'Baltic Dry Index'!B42</f>
        <v>2</v>
      </c>
      <c r="Q39" s="51">
        <f>IF(VIX!$F$26=VIX!$B$33,VIX!B42,IF(VIX!$F$26=VIX!$C$33,VIX!C42,IF(VIX!$F$26=VIX!$D$33,VIX!D42,IF(VIX!$F$26=VIX!$E$33,VIX!E42,1))))</f>
        <v>1</v>
      </c>
      <c r="R39" s="51">
        <f>IF(Currency!$F$26=Currency!$B$33,Currency!B42,IF(Currency!$F$26=Currency!$C$33,Currency!C42,IF(Currency!$F$26=Currency!$D$33,Currency!D42,IF(Currency!$F$26=Currency!$E$33,Currency!E42,1))))</f>
        <v>3</v>
      </c>
      <c r="S39" s="51">
        <f>IF(Unemployment!$F$26=Unemployment!$B$33,Unemployment!B42,IF(Unemployment!$F$26=Unemployment!$C$33,Unemployment!C42,IF(Unemployment!$F$26=Unemployment!$D$33,Unemployment!D42,IF(Unemployment!$F$26=Unemployment!$E$33,Unemployment!E42,1))))</f>
        <v>2</v>
      </c>
      <c r="T39" s="90">
        <f t="shared" si="1"/>
        <v>3.3614999999999999</v>
      </c>
    </row>
    <row r="40" spans="2:27" x14ac:dyDescent="0.3">
      <c r="B40" s="53" t="s">
        <v>18</v>
      </c>
      <c r="C40" s="87">
        <f>IF(PMI!$F$31=PMI!$B$43,PMI!$B53,IF(PMI!$F$31=PMI!$C$43,PMI!$C53,IF(PMI!$F$31=PMI!$D$43,PMI!$D53,IF(PMI!$F$31=PMI!$E$43,PMI!$E53,1))))</f>
        <v>4</v>
      </c>
      <c r="D40" s="51">
        <f>BNP!I131</f>
        <v>4</v>
      </c>
      <c r="E40" s="51">
        <f>IF('10 yr rate'!$E$30='10 yr rate'!$B$35,'10 yr rate'!$B45,IF('10 yr rate'!$E$30='10 yr rate'!$C$35,'10 yr rate'!$C45,IF('10 yr rate'!$E$30='10 yr rate'!$D$35,'10 yr rate'!$D45,IF('10 yr rate'!$E$30='10 yr rate'!$E$35,'10 yr rate'!$E45,1))))</f>
        <v>4</v>
      </c>
      <c r="F40" s="51">
        <f>IF('CPI(Inflation)'!$E$9='CPI(Inflation)'!$B$33,'CPI(Inflation)'!$B43,IF('CPI(Inflation)'!$E$9='CPI(Inflation)'!$C$33,'CPI(Inflation)'!$C43,IF('CPI(Inflation)'!$E$9='CPI(Inflation)'!$D$33,'CPI(Inflation)'!$D43,IF('CPI(Inflation)'!$E$9='CPI(Inflation)'!$E$33,'CPI(Inflation)'!$E43,1))))</f>
        <v>4</v>
      </c>
      <c r="G40" s="51">
        <f>'Baltic Dry Index'!B43</f>
        <v>3</v>
      </c>
      <c r="H40" s="51">
        <f>IF(VIX!$F$25=VIX!$B$33,VIX!B43,IF(VIX!$F$25=VIX!$C$33,VIX!C43,IF(VIX!$F$25=VIX!$D$33,VIX!D43,IF(VIX!$F$25=VIX!$E$33,VIX!E43,1))))</f>
        <v>3</v>
      </c>
      <c r="I40" s="51">
        <f>IF(Currency!$F$25=Currency!$B$33,Currency!B43,IF(Currency!$F$25=Currency!$C$33,Currency!C43,IF(Currency!$F$25=Currency!$D$33,Currency!D43,IF(Currency!$F$25=Currency!$E$33,Currency!E43,1))))</f>
        <v>3</v>
      </c>
      <c r="J40" s="51">
        <f>IF(Unemployment!$F$25=Unemployment!$B$33,Unemployment!B43,IF(Unemployment!$F$25=Unemployment!$C$33,Unemployment!C43,IF(Unemployment!$F$25=Unemployment!$D$33,Unemployment!D43,IF(Unemployment!$F$25=Unemployment!$E$33,Unemployment!E43,1))))</f>
        <v>3</v>
      </c>
      <c r="K40" s="90">
        <f t="shared" si="0"/>
        <v>3.8336999999999999</v>
      </c>
      <c r="L40" s="87">
        <f>IF(PMI!$F$32=PMI!$B$43,PMI!$B53,IF(PMI!$F$32=PMI!$C$43,PMI!$C53,IF(PMI!$F$32=PMI!$D$43,PMI!$D53,IF(PMI!$F$32=PMI!$E$43,PMI!$E53,1))))</f>
        <v>4</v>
      </c>
      <c r="M40" s="51">
        <f>BNP!J131</f>
        <v>3</v>
      </c>
      <c r="N40" s="51">
        <f>IF('10 yr rate'!$E$31='10 yr rate'!$B$35,'10 yr rate'!$B45,IF('10 yr rate'!$E$31='10 yr rate'!$C$35,'10 yr rate'!$C45,IF('10 yr rate'!$E$31='10 yr rate'!$D$35,'10 yr rate'!$D45,IF('10 yr rate'!$E$31='10 yr rate'!$E$35,'10 yr rate'!$E45,1))))</f>
        <v>4</v>
      </c>
      <c r="O40" s="51">
        <f>IF('CPI(Inflation)'!$E$10='CPI(Inflation)'!$B$33,'CPI(Inflation)'!$B43,IF('CPI(Inflation)'!$E$10='CPI(Inflation)'!$C$33,'CPI(Inflation)'!$C43,IF('CPI(Inflation)'!$E$10='CPI(Inflation)'!$D$33,'CPI(Inflation)'!$D43,IF('CPI(Inflation)'!$E$10='CPI(Inflation)'!$E$33,'CPI(Inflation)'!$E43,1))))</f>
        <v>3</v>
      </c>
      <c r="P40" s="51">
        <f>'Baltic Dry Index'!B43</f>
        <v>3</v>
      </c>
      <c r="Q40" s="51">
        <f>IF(VIX!$F$26=VIX!$B$33,VIX!B43,IF(VIX!$F$26=VIX!$C$33,VIX!C43,IF(VIX!$F$26=VIX!$D$33,VIX!D43,IF(VIX!$F$26=VIX!$E$33,VIX!E43,1))))</f>
        <v>2</v>
      </c>
      <c r="R40" s="51">
        <f>IF(Currency!$F$26=Currency!$B$33,Currency!B43,IF(Currency!$F$26=Currency!$C$33,Currency!C43,IF(Currency!$F$26=Currency!$D$33,Currency!D43,IF(Currency!$F$26=Currency!$E$33,Currency!E43,1))))</f>
        <v>4</v>
      </c>
      <c r="S40" s="51">
        <f>IF(Unemployment!$F$26=Unemployment!$B$33,Unemployment!B43,IF(Unemployment!$F$26=Unemployment!$C$33,Unemployment!C43,IF(Unemployment!$F$26=Unemployment!$D$33,Unemployment!D43,IF(Unemployment!$F$26=Unemployment!$E$33,Unemployment!E43,1))))</f>
        <v>3</v>
      </c>
      <c r="T40" s="90">
        <f t="shared" si="1"/>
        <v>3.4447999999999999</v>
      </c>
    </row>
    <row r="41" spans="2:27" x14ac:dyDescent="0.3">
      <c r="B41" s="54" t="s">
        <v>19</v>
      </c>
      <c r="C41" s="88">
        <f>IF(PMI!$F$31=PMI!$B$43,PMI!$B54,IF(PMI!$F$31=PMI!$C$43,PMI!$C54,IF(PMI!$F$31=PMI!$D$43,PMI!$D54,IF(PMI!$F$31=PMI!$E$43,PMI!$E54,1))))</f>
        <v>2</v>
      </c>
      <c r="D41" s="56">
        <f>BNP!I136</f>
        <v>2</v>
      </c>
      <c r="E41" s="56">
        <f>IF('10 yr rate'!$E$30='10 yr rate'!$B$35,'10 yr rate'!$B46,IF('10 yr rate'!$E$30='10 yr rate'!$C$35,'10 yr rate'!$C46,IF('10 yr rate'!$E$30='10 yr rate'!$D$35,'10 yr rate'!$D46,IF('10 yr rate'!$E$30='10 yr rate'!$E$35,'10 yr rate'!$E46,1))))</f>
        <v>2</v>
      </c>
      <c r="F41" s="56">
        <f>IF('CPI(Inflation)'!$E$9='CPI(Inflation)'!$B$33,'CPI(Inflation)'!$B44,IF('CPI(Inflation)'!$E$9='CPI(Inflation)'!$C$33,'CPI(Inflation)'!$C44,IF('CPI(Inflation)'!$E$9='CPI(Inflation)'!$D$33,'CPI(Inflation)'!$D44,IF('CPI(Inflation)'!$E$9='CPI(Inflation)'!$E$33,'CPI(Inflation)'!$E44,1))))</f>
        <v>2</v>
      </c>
      <c r="G41" s="56">
        <f>'Baltic Dry Index'!B44</f>
        <v>2</v>
      </c>
      <c r="H41" s="56">
        <f>IF(VIX!$F$25=VIX!$B$33,VIX!B44,IF(VIX!$F$25=VIX!$C$33,VIX!C44,IF(VIX!$F$25=VIX!$D$33,VIX!D44,IF(VIX!$F$25=VIX!$E$33,VIX!E44,1))))</f>
        <v>2</v>
      </c>
      <c r="I41" s="56">
        <f>IF(Currency!$F$25=Currency!$B$33,Currency!B44,IF(Currency!$F$25=Currency!$C$33,Currency!C44,IF(Currency!$F$25=Currency!$D$33,Currency!D44,IF(Currency!$F$25=Currency!$E$33,Currency!E44,1))))</f>
        <v>4</v>
      </c>
      <c r="J41" s="56">
        <f>IF(Unemployment!$F$25=Unemployment!$B$33,Unemployment!B44,IF(Unemployment!$F$25=Unemployment!$C$33,Unemployment!C44,IF(Unemployment!$F$25=Unemployment!$D$33,Unemployment!D44,IF(Unemployment!$F$25=Unemployment!$E$33,Unemployment!E44,1))))</f>
        <v>2</v>
      </c>
      <c r="K41" s="90">
        <f t="shared" si="0"/>
        <v>2.1114000000000002</v>
      </c>
      <c r="L41" s="88">
        <f>IF(PMI!$F$32=PMI!$B$43,PMI!$B54,IF(PMI!$F$32=PMI!$C$43,PMI!$C54,IF(PMI!$F$32=PMI!$D$43,PMI!$D54,IF(PMI!$F$32=PMI!$E$43,PMI!$E54,1))))</f>
        <v>2</v>
      </c>
      <c r="M41" s="56">
        <f>BNP!J136</f>
        <v>4</v>
      </c>
      <c r="N41" s="56">
        <f>IF('10 yr rate'!$E$31='10 yr rate'!$B$35,'10 yr rate'!$B46,IF('10 yr rate'!$E$31='10 yr rate'!$C$35,'10 yr rate'!$C46,IF('10 yr rate'!$E$31='10 yr rate'!$D$35,'10 yr rate'!$D46,IF('10 yr rate'!$E$31='10 yr rate'!$E$35,'10 yr rate'!$E46,1))))</f>
        <v>2</v>
      </c>
      <c r="O41" s="56">
        <f>IF('CPI(Inflation)'!$E$10='CPI(Inflation)'!$B$33,'CPI(Inflation)'!$B44,IF('CPI(Inflation)'!$E$10='CPI(Inflation)'!$C$33,'CPI(Inflation)'!$C44,IF('CPI(Inflation)'!$E$10='CPI(Inflation)'!$D$33,'CPI(Inflation)'!$D44,IF('CPI(Inflation)'!$E$10='CPI(Inflation)'!$E$33,'CPI(Inflation)'!$E44,1))))</f>
        <v>2</v>
      </c>
      <c r="P41" s="56">
        <f>'Baltic Dry Index'!B44</f>
        <v>2</v>
      </c>
      <c r="Q41" s="56">
        <f>IF(VIX!$F$26=VIX!$B$33,VIX!B44,IF(VIX!$F$26=VIX!$C$33,VIX!C44,IF(VIX!$F$26=VIX!$D$33,VIX!D44,IF(VIX!$F$26=VIX!$E$33,VIX!E44,1))))</f>
        <v>5</v>
      </c>
      <c r="R41" s="56">
        <f>IF(Currency!$F$26=Currency!$B$33,Currency!B44,IF(Currency!$F$26=Currency!$C$33,Currency!C44,IF(Currency!$F$26=Currency!$D$33,Currency!D44,IF(Currency!$F$26=Currency!$E$33,Currency!E44,1))))</f>
        <v>2</v>
      </c>
      <c r="S41" s="56">
        <f>IF(Unemployment!$F$26=Unemployment!$B$33,Unemployment!B44,IF(Unemployment!$F$26=Unemployment!$C$33,Unemployment!C44,IF(Unemployment!$F$26=Unemployment!$D$33,Unemployment!D44,IF(Unemployment!$F$26=Unemployment!$E$33,Unemployment!E44,1))))</f>
        <v>2</v>
      </c>
      <c r="T41" s="90">
        <f t="shared" si="1"/>
        <v>2.6114000000000002</v>
      </c>
    </row>
    <row r="42" spans="2:27" ht="15" customHeight="1" thickBot="1" x14ac:dyDescent="0.35"/>
    <row r="43" spans="2:27" x14ac:dyDescent="0.3">
      <c r="B43" s="58"/>
      <c r="C43" s="59"/>
      <c r="D43" s="59"/>
      <c r="E43" s="59"/>
      <c r="F43" s="59"/>
      <c r="G43" s="59"/>
      <c r="H43" s="59"/>
      <c r="I43" s="59"/>
      <c r="J43" s="59"/>
      <c r="K43" s="59"/>
      <c r="L43" s="59"/>
      <c r="M43" s="59"/>
      <c r="N43" s="59"/>
      <c r="O43" s="59"/>
      <c r="P43" s="59"/>
      <c r="Q43" s="59"/>
      <c r="R43" s="59"/>
      <c r="S43" s="59"/>
      <c r="T43" s="59"/>
      <c r="U43" s="59"/>
      <c r="V43" s="59"/>
      <c r="W43" s="59"/>
      <c r="X43" s="59"/>
      <c r="Y43" s="59"/>
      <c r="Z43" s="59"/>
      <c r="AA43" s="60"/>
    </row>
    <row r="44" spans="2:27" x14ac:dyDescent="0.3">
      <c r="B44" s="61"/>
      <c r="C44" s="62"/>
      <c r="D44" s="62"/>
      <c r="E44" s="62"/>
      <c r="F44" s="62"/>
      <c r="G44" s="62"/>
      <c r="H44" s="62"/>
      <c r="I44" s="62"/>
      <c r="J44" s="62"/>
      <c r="K44" s="62"/>
      <c r="L44" s="62"/>
      <c r="M44" s="62"/>
      <c r="N44" s="62"/>
      <c r="O44" s="62"/>
      <c r="P44" s="62"/>
      <c r="Q44" s="62"/>
      <c r="R44" s="62"/>
      <c r="S44" s="62"/>
      <c r="T44" s="62"/>
      <c r="U44" s="62"/>
      <c r="V44" s="62"/>
      <c r="W44" s="62"/>
      <c r="X44" s="62"/>
      <c r="Y44" s="62"/>
      <c r="Z44" s="62"/>
      <c r="AA44" s="63"/>
    </row>
    <row r="45" spans="2:27" x14ac:dyDescent="0.3">
      <c r="B45" s="61"/>
      <c r="C45" s="62"/>
      <c r="D45" s="62"/>
      <c r="E45" s="62"/>
      <c r="F45" s="62"/>
      <c r="G45" s="62"/>
      <c r="H45" s="62"/>
      <c r="I45" s="62"/>
      <c r="J45" s="62"/>
      <c r="K45" s="62"/>
      <c r="L45" s="62"/>
      <c r="M45" s="62"/>
      <c r="N45" s="62"/>
      <c r="O45" s="62"/>
      <c r="P45" s="62"/>
      <c r="Q45" s="62"/>
      <c r="R45" s="62"/>
      <c r="S45" s="62"/>
      <c r="T45" s="62"/>
      <c r="U45" s="62"/>
      <c r="V45" s="62"/>
      <c r="W45" s="62"/>
      <c r="X45" s="62"/>
      <c r="Y45" s="62"/>
      <c r="Z45" s="62"/>
      <c r="AA45" s="63"/>
    </row>
    <row r="46" spans="2:27" x14ac:dyDescent="0.3">
      <c r="B46" s="61"/>
      <c r="C46" s="62"/>
      <c r="D46" s="62"/>
      <c r="E46" s="62"/>
      <c r="F46" s="62"/>
      <c r="G46" s="62"/>
      <c r="H46" s="62"/>
      <c r="I46" s="62"/>
      <c r="J46" s="62"/>
      <c r="K46" s="62"/>
      <c r="L46" s="62"/>
      <c r="M46" s="62"/>
      <c r="N46" s="62"/>
      <c r="O46" s="62"/>
      <c r="P46" s="62"/>
      <c r="Q46" s="62"/>
      <c r="R46" s="62"/>
      <c r="S46" s="62"/>
      <c r="T46" s="62"/>
      <c r="U46" s="62"/>
      <c r="V46" s="62"/>
      <c r="W46" s="62"/>
      <c r="X46" s="62"/>
      <c r="Y46" s="62"/>
      <c r="Z46" s="62"/>
      <c r="AA46" s="63"/>
    </row>
    <row r="47" spans="2:27" x14ac:dyDescent="0.3">
      <c r="B47" s="61"/>
      <c r="C47" s="62"/>
      <c r="D47" s="62"/>
      <c r="E47" s="62"/>
      <c r="F47" s="62"/>
      <c r="G47" s="62"/>
      <c r="H47" s="62"/>
      <c r="I47" s="62"/>
      <c r="J47" s="62"/>
      <c r="K47" s="62"/>
      <c r="L47" s="62"/>
      <c r="M47" s="62"/>
      <c r="N47" s="62"/>
      <c r="O47" s="62"/>
      <c r="P47" s="62"/>
      <c r="Q47" s="62"/>
      <c r="R47" s="62"/>
      <c r="S47" s="62"/>
      <c r="T47" s="62"/>
      <c r="U47" s="62"/>
      <c r="V47" s="62"/>
      <c r="W47" s="62"/>
      <c r="X47" s="62"/>
      <c r="Y47" s="62"/>
      <c r="Z47" s="62"/>
      <c r="AA47" s="63"/>
    </row>
    <row r="48" spans="2:27" x14ac:dyDescent="0.3">
      <c r="B48" s="61"/>
      <c r="C48" s="62"/>
      <c r="D48" s="62"/>
      <c r="E48" s="62"/>
      <c r="F48" s="62"/>
      <c r="G48" s="62"/>
      <c r="H48" s="62"/>
      <c r="I48" s="62"/>
      <c r="J48" s="62"/>
      <c r="K48" s="62"/>
      <c r="L48" s="62"/>
      <c r="M48" s="62"/>
      <c r="N48" s="62"/>
      <c r="O48" s="62"/>
      <c r="P48" s="62"/>
      <c r="Q48" s="62"/>
      <c r="R48" s="62"/>
      <c r="S48" s="62"/>
      <c r="T48" s="62"/>
      <c r="U48" s="62"/>
      <c r="V48" s="62"/>
      <c r="W48" s="62"/>
      <c r="X48" s="62"/>
      <c r="Y48" s="62"/>
      <c r="Z48" s="62"/>
      <c r="AA48" s="63"/>
    </row>
    <row r="49" spans="2:27" x14ac:dyDescent="0.3">
      <c r="B49" s="61"/>
      <c r="C49" s="62"/>
      <c r="D49" s="62"/>
      <c r="E49" s="62"/>
      <c r="F49" s="62"/>
      <c r="G49" s="62"/>
      <c r="H49" s="62"/>
      <c r="I49" s="62"/>
      <c r="J49" s="62"/>
      <c r="K49" s="62"/>
      <c r="L49" s="62"/>
      <c r="M49" s="62"/>
      <c r="N49" s="62"/>
      <c r="O49" s="62"/>
      <c r="P49" s="62"/>
      <c r="Q49" s="62"/>
      <c r="R49" s="62"/>
      <c r="S49" s="62"/>
      <c r="T49" s="62"/>
      <c r="U49" s="62"/>
      <c r="V49" s="62"/>
      <c r="W49" s="62"/>
      <c r="X49" s="62"/>
      <c r="Y49" s="62"/>
      <c r="Z49" s="62"/>
      <c r="AA49" s="63"/>
    </row>
    <row r="50" spans="2:27" x14ac:dyDescent="0.3">
      <c r="B50" s="61"/>
      <c r="C50" s="62"/>
      <c r="D50" s="62"/>
      <c r="E50" s="62"/>
      <c r="F50" s="62"/>
      <c r="G50" s="62"/>
      <c r="H50" s="62"/>
      <c r="I50" s="62"/>
      <c r="J50" s="62"/>
      <c r="K50" s="62"/>
      <c r="L50" s="62"/>
      <c r="M50" s="62"/>
      <c r="N50" s="62"/>
      <c r="O50" s="62"/>
      <c r="P50" s="62"/>
      <c r="Q50" s="62"/>
      <c r="R50" s="62"/>
      <c r="S50" s="62"/>
      <c r="T50" s="62"/>
      <c r="U50" s="62"/>
      <c r="V50" s="62"/>
      <c r="W50" s="62"/>
      <c r="X50" s="62"/>
      <c r="Y50" s="62"/>
      <c r="Z50" s="62"/>
      <c r="AA50" s="63"/>
    </row>
    <row r="51" spans="2:27" x14ac:dyDescent="0.3">
      <c r="B51" s="61"/>
      <c r="C51" s="62"/>
      <c r="D51" s="62"/>
      <c r="E51" s="62"/>
      <c r="F51" s="62"/>
      <c r="G51" s="62"/>
      <c r="H51" s="62"/>
      <c r="I51" s="62"/>
      <c r="J51" s="62"/>
      <c r="K51" s="62"/>
      <c r="L51" s="62"/>
      <c r="M51" s="62"/>
      <c r="N51" s="62"/>
      <c r="O51" s="62"/>
      <c r="P51" s="62"/>
      <c r="Q51" s="62"/>
      <c r="R51" s="62"/>
      <c r="S51" s="62"/>
      <c r="T51" s="62"/>
      <c r="U51" s="62"/>
      <c r="V51" s="62"/>
      <c r="W51" s="62"/>
      <c r="X51" s="62"/>
      <c r="Y51" s="62"/>
      <c r="Z51" s="62"/>
      <c r="AA51" s="63"/>
    </row>
    <row r="52" spans="2:27" x14ac:dyDescent="0.3">
      <c r="B52" s="61"/>
      <c r="C52" s="62"/>
      <c r="D52" s="62"/>
      <c r="E52" s="62"/>
      <c r="F52" s="62"/>
      <c r="G52" s="62"/>
      <c r="H52" s="62"/>
      <c r="I52" s="62"/>
      <c r="J52" s="62"/>
      <c r="K52" s="62"/>
      <c r="L52" s="62"/>
      <c r="M52" s="62"/>
      <c r="N52" s="62"/>
      <c r="O52" s="62"/>
      <c r="P52" s="62"/>
      <c r="Q52" s="62"/>
      <c r="R52" s="62"/>
      <c r="S52" s="62"/>
      <c r="T52" s="62"/>
      <c r="U52" s="62"/>
      <c r="V52" s="62"/>
      <c r="W52" s="62"/>
      <c r="X52" s="62"/>
      <c r="Y52" s="62"/>
      <c r="Z52" s="62"/>
      <c r="AA52" s="63"/>
    </row>
    <row r="53" spans="2:27" x14ac:dyDescent="0.3">
      <c r="B53" s="61"/>
      <c r="C53" s="62"/>
      <c r="D53" s="62"/>
      <c r="E53" s="62"/>
      <c r="F53" s="62"/>
      <c r="G53" s="62"/>
      <c r="H53" s="62"/>
      <c r="I53" s="62"/>
      <c r="J53" s="62"/>
      <c r="K53" s="62"/>
      <c r="L53" s="62"/>
      <c r="M53" s="62"/>
      <c r="N53" s="62"/>
      <c r="O53" s="62"/>
      <c r="P53" s="62"/>
      <c r="Q53" s="62"/>
      <c r="R53" s="62"/>
      <c r="S53" s="62"/>
      <c r="T53" s="62"/>
      <c r="U53" s="62"/>
      <c r="V53" s="62"/>
      <c r="W53" s="62"/>
      <c r="X53" s="62"/>
      <c r="Y53" s="62"/>
      <c r="Z53" s="62"/>
      <c r="AA53" s="63"/>
    </row>
    <row r="54" spans="2:27" x14ac:dyDescent="0.3">
      <c r="B54" s="61"/>
      <c r="C54" s="62"/>
      <c r="D54" s="62"/>
      <c r="E54" s="62"/>
      <c r="F54" s="62"/>
      <c r="G54" s="62"/>
      <c r="H54" s="62"/>
      <c r="I54" s="62"/>
      <c r="J54" s="62"/>
      <c r="K54" s="62"/>
      <c r="L54" s="62"/>
      <c r="M54" s="62"/>
      <c r="N54" s="62"/>
      <c r="O54" s="62"/>
      <c r="P54" s="62"/>
      <c r="Q54" s="62"/>
      <c r="R54" s="62"/>
      <c r="S54" s="62"/>
      <c r="T54" s="62"/>
      <c r="U54" s="62"/>
      <c r="V54" s="62"/>
      <c r="W54" s="62"/>
      <c r="X54" s="62"/>
      <c r="Y54" s="62"/>
      <c r="Z54" s="62"/>
      <c r="AA54" s="63"/>
    </row>
    <row r="55" spans="2:27" x14ac:dyDescent="0.3">
      <c r="B55" s="61"/>
      <c r="C55" s="62"/>
      <c r="D55" s="62"/>
      <c r="E55" s="62"/>
      <c r="F55" s="62"/>
      <c r="G55" s="62"/>
      <c r="H55" s="62"/>
      <c r="I55" s="62"/>
      <c r="J55" s="62"/>
      <c r="K55" s="62"/>
      <c r="L55" s="62"/>
      <c r="M55" s="62"/>
      <c r="N55" s="62"/>
      <c r="O55" s="62"/>
      <c r="P55" s="62"/>
      <c r="Q55" s="62"/>
      <c r="R55" s="62"/>
      <c r="S55" s="62"/>
      <c r="T55" s="62"/>
      <c r="U55" s="62"/>
      <c r="V55" s="62"/>
      <c r="W55" s="62"/>
      <c r="X55" s="62"/>
      <c r="Y55" s="62"/>
      <c r="Z55" s="62"/>
      <c r="AA55" s="63"/>
    </row>
    <row r="56" spans="2:27" x14ac:dyDescent="0.3">
      <c r="B56" s="61"/>
      <c r="C56" s="62"/>
      <c r="D56" s="62"/>
      <c r="E56" s="62"/>
      <c r="F56" s="62"/>
      <c r="G56" s="62"/>
      <c r="H56" s="62"/>
      <c r="I56" s="62"/>
      <c r="J56" s="62"/>
      <c r="K56" s="62"/>
      <c r="L56" s="62"/>
      <c r="M56" s="62"/>
      <c r="N56" s="62"/>
      <c r="O56" s="62"/>
      <c r="P56" s="62"/>
      <c r="Q56" s="62"/>
      <c r="R56" s="62"/>
      <c r="S56" s="62"/>
      <c r="T56" s="62"/>
      <c r="U56" s="62"/>
      <c r="V56" s="62"/>
      <c r="W56" s="62"/>
      <c r="X56" s="62"/>
      <c r="Y56" s="62"/>
      <c r="Z56" s="62"/>
      <c r="AA56" s="63"/>
    </row>
    <row r="57" spans="2:27" x14ac:dyDescent="0.3">
      <c r="B57" s="61"/>
      <c r="C57" s="62"/>
      <c r="D57" s="62"/>
      <c r="E57" s="62"/>
      <c r="F57" s="62"/>
      <c r="G57" s="62"/>
      <c r="H57" s="62"/>
      <c r="I57" s="62"/>
      <c r="J57" s="62"/>
      <c r="K57" s="62"/>
      <c r="L57" s="62"/>
      <c r="M57" s="62"/>
      <c r="N57" s="62"/>
      <c r="O57" s="62"/>
      <c r="P57" s="62"/>
      <c r="Q57" s="62"/>
      <c r="R57" s="62"/>
      <c r="S57" s="62"/>
      <c r="T57" s="62"/>
      <c r="U57" s="62"/>
      <c r="V57" s="62"/>
      <c r="W57" s="62"/>
      <c r="X57" s="62"/>
      <c r="Y57" s="62"/>
      <c r="Z57" s="62"/>
      <c r="AA57" s="63"/>
    </row>
    <row r="58" spans="2:27" x14ac:dyDescent="0.3">
      <c r="B58" s="61"/>
      <c r="C58" s="62"/>
      <c r="D58" s="62"/>
      <c r="E58" s="62"/>
      <c r="F58" s="62"/>
      <c r="G58" s="62"/>
      <c r="H58" s="62"/>
      <c r="I58" s="62"/>
      <c r="J58" s="62"/>
      <c r="K58" s="62"/>
      <c r="L58" s="62"/>
      <c r="M58" s="62"/>
      <c r="N58" s="62"/>
      <c r="O58" s="62"/>
      <c r="P58" s="62"/>
      <c r="Q58" s="62"/>
      <c r="R58" s="62"/>
      <c r="S58" s="62"/>
      <c r="T58" s="62"/>
      <c r="U58" s="62"/>
      <c r="V58" s="62"/>
      <c r="W58" s="62"/>
      <c r="X58" s="62"/>
      <c r="Y58" s="62"/>
      <c r="Z58" s="62"/>
      <c r="AA58" s="63"/>
    </row>
    <row r="59" spans="2:27" x14ac:dyDescent="0.3">
      <c r="B59" s="61"/>
      <c r="C59" s="62"/>
      <c r="D59" s="62"/>
      <c r="E59" s="62"/>
      <c r="F59" s="62"/>
      <c r="G59" s="62"/>
      <c r="H59" s="62"/>
      <c r="I59" s="62"/>
      <c r="J59" s="62"/>
      <c r="K59" s="62"/>
      <c r="L59" s="62"/>
      <c r="M59" s="62"/>
      <c r="N59" s="62"/>
      <c r="O59" s="62"/>
      <c r="P59" s="62"/>
      <c r="Q59" s="62"/>
      <c r="R59" s="62"/>
      <c r="S59" s="62"/>
      <c r="T59" s="62"/>
      <c r="U59" s="62"/>
      <c r="V59" s="62"/>
      <c r="W59" s="62"/>
      <c r="X59" s="62"/>
      <c r="Y59" s="62"/>
      <c r="Z59" s="62"/>
      <c r="AA59" s="63"/>
    </row>
    <row r="60" spans="2:27" x14ac:dyDescent="0.3">
      <c r="B60" s="61"/>
      <c r="C60" s="62"/>
      <c r="D60" s="62"/>
      <c r="E60" s="62"/>
      <c r="F60" s="62"/>
      <c r="G60" s="62"/>
      <c r="H60" s="62"/>
      <c r="I60" s="62"/>
      <c r="J60" s="62"/>
      <c r="K60" s="62"/>
      <c r="L60" s="62"/>
      <c r="M60" s="62"/>
      <c r="N60" s="62"/>
      <c r="O60" s="62"/>
      <c r="P60" s="62"/>
      <c r="Q60" s="62"/>
      <c r="R60" s="62"/>
      <c r="S60" s="62"/>
      <c r="T60" s="62"/>
      <c r="U60" s="62"/>
      <c r="V60" s="62"/>
      <c r="W60" s="62"/>
      <c r="X60" s="62"/>
      <c r="Y60" s="62"/>
      <c r="Z60" s="62"/>
      <c r="AA60" s="63"/>
    </row>
    <row r="61" spans="2:27" x14ac:dyDescent="0.3">
      <c r="B61" s="61"/>
      <c r="C61" s="62"/>
      <c r="D61" s="62"/>
      <c r="E61" s="62"/>
      <c r="F61" s="62"/>
      <c r="G61" s="62"/>
      <c r="H61" s="62"/>
      <c r="I61" s="62"/>
      <c r="J61" s="62"/>
      <c r="K61" s="62"/>
      <c r="L61" s="62"/>
      <c r="M61" s="62"/>
      <c r="N61" s="62"/>
      <c r="O61" s="62"/>
      <c r="P61" s="62"/>
      <c r="Q61" s="62"/>
      <c r="R61" s="62"/>
      <c r="S61" s="62"/>
      <c r="T61" s="62"/>
      <c r="U61" s="62"/>
      <c r="V61" s="62"/>
      <c r="W61" s="62"/>
      <c r="X61" s="62"/>
      <c r="Y61" s="62"/>
      <c r="Z61" s="62"/>
      <c r="AA61" s="63"/>
    </row>
    <row r="62" spans="2:27" x14ac:dyDescent="0.3">
      <c r="B62" s="61"/>
      <c r="C62" s="62"/>
      <c r="D62" s="62"/>
      <c r="E62" s="62"/>
      <c r="F62" s="62"/>
      <c r="G62" s="62"/>
      <c r="H62" s="62"/>
      <c r="I62" s="62"/>
      <c r="J62" s="62"/>
      <c r="K62" s="62"/>
      <c r="L62" s="62"/>
      <c r="M62" s="62"/>
      <c r="N62" s="62"/>
      <c r="O62" s="62"/>
      <c r="P62" s="62"/>
      <c r="Q62" s="62"/>
      <c r="R62" s="62"/>
      <c r="S62" s="62"/>
      <c r="T62" s="62"/>
      <c r="U62" s="62"/>
      <c r="V62" s="62"/>
      <c r="W62" s="62"/>
      <c r="X62" s="62"/>
      <c r="Y62" s="62"/>
      <c r="Z62" s="62"/>
      <c r="AA62" s="63"/>
    </row>
    <row r="63" spans="2:27" x14ac:dyDescent="0.3">
      <c r="B63" s="61"/>
      <c r="C63" s="62"/>
      <c r="D63" s="62"/>
      <c r="E63" s="62"/>
      <c r="F63" s="62"/>
      <c r="G63" s="62"/>
      <c r="H63" s="62"/>
      <c r="I63" s="62"/>
      <c r="J63" s="62"/>
      <c r="K63" s="62"/>
      <c r="L63" s="62"/>
      <c r="M63" s="62"/>
      <c r="N63" s="62"/>
      <c r="O63" s="62"/>
      <c r="P63" s="62"/>
      <c r="Q63" s="62"/>
      <c r="R63" s="62"/>
      <c r="S63" s="62"/>
      <c r="T63" s="62"/>
      <c r="U63" s="62"/>
      <c r="V63" s="62"/>
      <c r="W63" s="62"/>
      <c r="X63" s="62"/>
      <c r="Y63" s="62"/>
      <c r="Z63" s="62"/>
      <c r="AA63" s="63"/>
    </row>
    <row r="64" spans="2:27" x14ac:dyDescent="0.3">
      <c r="B64" s="61"/>
      <c r="C64" s="62"/>
      <c r="D64" s="62"/>
      <c r="E64" s="62"/>
      <c r="F64" s="62"/>
      <c r="G64" s="62"/>
      <c r="H64" s="62"/>
      <c r="I64" s="62"/>
      <c r="J64" s="62"/>
      <c r="K64" s="62"/>
      <c r="L64" s="62"/>
      <c r="M64" s="62"/>
      <c r="N64" s="62"/>
      <c r="O64" s="62"/>
      <c r="P64" s="62"/>
      <c r="Q64" s="62"/>
      <c r="R64" s="62"/>
      <c r="S64" s="62"/>
      <c r="T64" s="62"/>
      <c r="U64" s="62"/>
      <c r="V64" s="62"/>
      <c r="W64" s="62"/>
      <c r="X64" s="62"/>
      <c r="Y64" s="62"/>
      <c r="Z64" s="62"/>
      <c r="AA64" s="63"/>
    </row>
    <row r="65" spans="2:27" x14ac:dyDescent="0.3">
      <c r="B65" s="61"/>
      <c r="C65" s="62"/>
      <c r="D65" s="62"/>
      <c r="E65" s="62"/>
      <c r="F65" s="62"/>
      <c r="G65" s="62"/>
      <c r="H65" s="62"/>
      <c r="I65" s="62"/>
      <c r="J65" s="62"/>
      <c r="K65" s="62"/>
      <c r="L65" s="62"/>
      <c r="M65" s="62"/>
      <c r="N65" s="62"/>
      <c r="O65" s="62"/>
      <c r="P65" s="62"/>
      <c r="Q65" s="62"/>
      <c r="R65" s="62"/>
      <c r="S65" s="62"/>
      <c r="T65" s="62"/>
      <c r="U65" s="62"/>
      <c r="V65" s="62"/>
      <c r="W65" s="62"/>
      <c r="X65" s="62"/>
      <c r="Y65" s="62"/>
      <c r="Z65" s="62"/>
      <c r="AA65" s="63"/>
    </row>
    <row r="66" spans="2:27" x14ac:dyDescent="0.3">
      <c r="B66" s="61"/>
      <c r="C66" s="62"/>
      <c r="D66" s="62"/>
      <c r="E66" s="62"/>
      <c r="F66" s="62"/>
      <c r="G66" s="62"/>
      <c r="H66" s="62"/>
      <c r="I66" s="62"/>
      <c r="J66" s="62"/>
      <c r="K66" s="62"/>
      <c r="L66" s="62"/>
      <c r="M66" s="62"/>
      <c r="N66" s="62"/>
      <c r="O66" s="62"/>
      <c r="P66" s="62"/>
      <c r="Q66" s="62"/>
      <c r="R66" s="62"/>
      <c r="S66" s="62"/>
      <c r="T66" s="62"/>
      <c r="U66" s="62"/>
      <c r="V66" s="62"/>
      <c r="W66" s="62"/>
      <c r="X66" s="62"/>
      <c r="Y66" s="62"/>
      <c r="Z66" s="62"/>
      <c r="AA66" s="63"/>
    </row>
    <row r="67" spans="2:27" ht="15" customHeight="1" thickBot="1" x14ac:dyDescent="0.35">
      <c r="B67" s="64"/>
      <c r="C67" s="65"/>
      <c r="D67" s="65"/>
      <c r="E67" s="65"/>
      <c r="F67" s="65"/>
      <c r="G67" s="65"/>
      <c r="H67" s="65"/>
      <c r="I67" s="65"/>
      <c r="J67" s="65"/>
      <c r="K67" s="65"/>
      <c r="L67" s="65"/>
      <c r="M67" s="65"/>
      <c r="N67" s="65"/>
      <c r="O67" s="65"/>
      <c r="P67" s="65"/>
      <c r="Q67" s="65"/>
      <c r="R67" s="65"/>
      <c r="S67" s="65"/>
      <c r="T67" s="65"/>
      <c r="U67" s="65"/>
      <c r="V67" s="65"/>
      <c r="W67" s="65"/>
      <c r="X67" s="65"/>
      <c r="Y67" s="65"/>
      <c r="Z67" s="65"/>
      <c r="AA67" s="66"/>
    </row>
    <row r="69" spans="2:27" x14ac:dyDescent="0.3">
      <c r="C69" s="45"/>
      <c r="D69" s="45"/>
      <c r="E69" s="45"/>
      <c r="F69" s="45"/>
      <c r="G69" s="45"/>
      <c r="H69" s="45"/>
      <c r="I69" s="45"/>
      <c r="J69" s="45"/>
      <c r="K69" s="45" t="str">
        <f>'Fremtid vækst'!$C$3</f>
        <v>Q1 2026</v>
      </c>
      <c r="L69" s="45"/>
      <c r="T69" s="45" t="str">
        <f>'Fremtid vækst'!$D$3</f>
        <v>Q2 2026</v>
      </c>
    </row>
    <row r="70" spans="2:27" ht="18" customHeight="1" x14ac:dyDescent="0.35">
      <c r="B70" s="49" t="s">
        <v>101</v>
      </c>
      <c r="C70" s="47" t="s">
        <v>94</v>
      </c>
      <c r="D70" s="47" t="s">
        <v>93</v>
      </c>
      <c r="E70" s="47" t="s">
        <v>109</v>
      </c>
      <c r="F70" s="47" t="s">
        <v>96</v>
      </c>
      <c r="G70" s="47" t="s">
        <v>97</v>
      </c>
      <c r="H70" s="47" t="s">
        <v>98</v>
      </c>
      <c r="I70" s="47" t="s">
        <v>111</v>
      </c>
      <c r="J70" s="47" t="s">
        <v>100</v>
      </c>
      <c r="K70" s="47" t="s">
        <v>110</v>
      </c>
      <c r="L70" s="47" t="s">
        <v>94</v>
      </c>
      <c r="M70" s="47" t="s">
        <v>93</v>
      </c>
      <c r="N70" s="47" t="s">
        <v>109</v>
      </c>
      <c r="O70" s="47" t="s">
        <v>96</v>
      </c>
      <c r="P70" s="47" t="s">
        <v>97</v>
      </c>
      <c r="Q70" s="47" t="s">
        <v>98</v>
      </c>
      <c r="R70" s="47" t="s">
        <v>111</v>
      </c>
      <c r="S70" s="47" t="s">
        <v>100</v>
      </c>
      <c r="T70" s="47" t="s">
        <v>110</v>
      </c>
    </row>
    <row r="71" spans="2:27" x14ac:dyDescent="0.3">
      <c r="B71" s="50" t="s">
        <v>9</v>
      </c>
      <c r="C71" s="85">
        <f>IF(PMI!$F$21=PMI!$B$43,PMI!$B44,IF(PMI!$F$21=PMI!$C$43,PMI!$C44,IF(PMI!$F$21=PMI!$D$43,PMI!$D44,IF(PMI!$F$21=PMI!$E$43,PMI!$E44,1))))</f>
        <v>4</v>
      </c>
      <c r="D71" s="89">
        <f>BNP!I87</f>
        <v>3</v>
      </c>
      <c r="E71" s="89">
        <f>IF('10 yr rate'!$E$20='10 yr rate'!$B$35,'10 yr rate'!$B36,IF('10 yr rate'!$E$20='10 yr rate'!$C$35,'10 yr rate'!$C36,IF('10 yr rate'!$E$20='10 yr rate'!$D$35,'10 yr rate'!$D36,IF('10 yr rate'!$E$20='10 yr rate'!$E$35,'10 yr rate'!$E36,1))))</f>
        <v>4</v>
      </c>
      <c r="F71" s="89">
        <f>IF('CPI(Inflation)'!$E$18='CPI(Inflation)'!$B$33,'CPI(Inflation)'!$B34,IF('CPI(Inflation)'!$E$18='CPI(Inflation)'!$C$33,'CPI(Inflation)'!$C34,IF('CPI(Inflation)'!$E$18='CPI(Inflation)'!$D$33,'CPI(Inflation)'!$D34,IF('CPI(Inflation)'!$E$18='CPI(Inflation)'!$E$33,'CPI(Inflation)'!$E34,1))))</f>
        <v>4</v>
      </c>
      <c r="G71" s="89">
        <f>'Baltic Dry Index'!B34</f>
        <v>4</v>
      </c>
      <c r="H71" s="89">
        <f>IF(VIX!$F$5=VIX!$B$33,VIX!B34,IF(VIX!$F$5=VIX!$C$33,VIX!C34,IF(VIX!$F$5=VIX!$D$33,VIX!D34,IF(VIX!$F$5=VIX!$E$33,VIX!E34,1))))</f>
        <v>4</v>
      </c>
      <c r="I71" s="89">
        <f>IF(Currency!$F$5=Currency!$B$33,Currency!B34,IF(Currency!$F$5=Currency!$C$33,Currency!C34,IF(Currency!$F$5=Currency!$D$33,Currency!D34,IF(Currency!$F$5=Currency!$E$33,Currency!E34,1))))</f>
        <v>2</v>
      </c>
      <c r="J71" s="89">
        <f>IF(Unemployment!$F$5=Unemployment!$B$33,Unemployment!B34,IF(Unemployment!$F$5=Unemployment!$C$33,Unemployment!C34,IF(Unemployment!$F$5=Unemployment!$D$33,Unemployment!D34,IF(Unemployment!$F$5=Unemployment!$E$33,Unemployment!E34,1))))</f>
        <v>2</v>
      </c>
      <c r="K71" s="90">
        <f>AVERAGE(C71*0.2222 + D71*0.3056 + E71*0.1667 + F71*0.1389 + I71*0.0556 + J71*0.1111)</f>
        <v>3.3614000000000002</v>
      </c>
      <c r="L71" s="85">
        <f>IF(PMI!$F$22=PMI!$B$43,PMI!$B44,IF(PMI!$F$22=PMI!$C$43,PMI!$C44,IF(PMI!$F$22=PMI!$D$44,PMI!$D44,IF(PMI!$F$22=PMI!$E$43,PMI!$E44,1))))</f>
        <v>4</v>
      </c>
      <c r="M71" s="89">
        <f>BNP!J87</f>
        <v>3</v>
      </c>
      <c r="N71" s="89">
        <f>IF('10 yr rate'!$E$21='10 yr rate'!$B$35,'10 yr rate'!$B36,IF('10 yr rate'!$E$21='10 yr rate'!$C$35,'10 yr rate'!$C36,IF('10 yr rate'!$E$21='10 yr rate'!$D$35,'10 yr rate'!$D36,IF('10 yr rate'!$E$21='10 yr rate'!$E$35,'10 yr rate'!$E36,1))))</f>
        <v>4</v>
      </c>
      <c r="O71" s="89">
        <f>IF('CPI(Inflation)'!$E$19='CPI(Inflation)'!$B$33,'CPI(Inflation)'!$B34,IF('CPI(Inflation)'!$E$19='CPI(Inflation)'!$C$33,'CPI(Inflation)'!$C34,IF('CPI(Inflation)'!$E$19='CPI(Inflation)'!$D$33,'CPI(Inflation)'!$D34,IF('CPI(Inflation)'!$E$19='CPI(Inflation)'!$E$33,'CPI(Inflation)'!$E34,1))))</f>
        <v>4</v>
      </c>
      <c r="P71" s="89">
        <f>'Baltic Dry Index'!B34</f>
        <v>4</v>
      </c>
      <c r="Q71" s="89">
        <f>IF(VIX!$F$6=VIX!$B$33,VIX!B34,IF(VIX!$F$6=VIX!$C$33,VIX!C34,IF(VIX!$F$6=VIX!$D$33,VIX!D34,IF(VIX!$F$6=VIX!$E$33,VIX!E34,1))))</f>
        <v>1</v>
      </c>
      <c r="R71" s="89">
        <f>IF(Currency!$F$6=Currency!$B$33,Currency!B34,IF(Currency!$F$6=Currency!$C$33,Currency!C34,IF(Currency!$F$6=Currency!$D$33,Currency!D34,IF(Currency!$F$6=Currency!$E$33,Currency!E34,1))))</f>
        <v>4</v>
      </c>
      <c r="S71" s="89">
        <f>IF(Unemployment!$F$6=Unemployment!$B$33,Unemployment!B34,IF(Unemployment!$F$6=Unemployment!$C$33,Unemployment!C34,IF(Unemployment!$F$6=Unemployment!$D$33,Unemployment!D34,IF(Unemployment!$F$6=Unemployment!$E$33,Unemployment!E34,1))))</f>
        <v>2</v>
      </c>
      <c r="T71" s="90">
        <f t="shared" ref="T71:T81" si="2">AVERAGE(L71*0.2222 + M71*0.3056 + N71*0.1667 + O71*0.1389 + R71*0.0556 + S71*0.1111)</f>
        <v>3.4725999999999999</v>
      </c>
    </row>
    <row r="72" spans="2:27" x14ac:dyDescent="0.3">
      <c r="B72" s="53" t="s">
        <v>10</v>
      </c>
      <c r="C72" s="87">
        <f>IF(PMI!$F$21=PMI!$B$43,PMI!$B45,IF(PMI!$F$21=PMI!$C$43,PMI!$C45,IF(PMI!$F$21=PMI!$D$43,PMI!$D45,IF(PMI!$F$21=PMI!$E$43,PMI!$E45,1))))</f>
        <v>2</v>
      </c>
      <c r="D72" s="44">
        <f>BNP!I92</f>
        <v>5</v>
      </c>
      <c r="E72" s="44">
        <f>IF('10 yr rate'!$E$20='10 yr rate'!$B$35,'10 yr rate'!$B37,IF('10 yr rate'!$E$20='10 yr rate'!$C$35,'10 yr rate'!$C37,IF('10 yr rate'!$E$20='10 yr rate'!$D$35,'10 yr rate'!$D37,IF('10 yr rate'!$E$20='10 yr rate'!$E$35,'10 yr rate'!$E37,1))))</f>
        <v>2</v>
      </c>
      <c r="F72" s="44">
        <f>IF('CPI(Inflation)'!$E$18='CPI(Inflation)'!$B$33,'CPI(Inflation)'!$B35,IF('CPI(Inflation)'!$E$18='CPI(Inflation)'!$C$33,'CPI(Inflation)'!$C35,IF('CPI(Inflation)'!$E$18='CPI(Inflation)'!$D$33,'CPI(Inflation)'!$D35,IF('CPI(Inflation)'!$E$18='CPI(Inflation)'!$E$33,'CPI(Inflation)'!$E35,1))))</f>
        <v>2</v>
      </c>
      <c r="G72" s="44">
        <f>'Baltic Dry Index'!B35</f>
        <v>5</v>
      </c>
      <c r="H72" s="44">
        <f>IF(VIX!$F$5=VIX!$B$33,VIX!B35,IF(VIX!$F$5=VIX!$C$33,VIX!C35,IF(VIX!$F$5=VIX!$D$33,VIX!D35,IF(VIX!$F$5=VIX!$E$33,VIX!E35,1))))</f>
        <v>5</v>
      </c>
      <c r="I72" s="44">
        <f>IF(Currency!$F$5=Currency!$B$33,Currency!B35,IF(Currency!$F$5=Currency!$C$33,Currency!C35,IF(Currency!$F$5=Currency!$D$33,Currency!D35,IF(Currency!$F$5=Currency!$E$33,Currency!E35,1))))</f>
        <v>3</v>
      </c>
      <c r="J72" s="44">
        <f>IF(Unemployment!$F$5=Unemployment!$B$33,Unemployment!B35,IF(Unemployment!$F$5=Unemployment!$C$33,Unemployment!C35,IF(Unemployment!$F$5=Unemployment!$D$33,Unemployment!D35,IF(Unemployment!$F$5=Unemployment!$E$33,Unemployment!E35,1))))</f>
        <v>3</v>
      </c>
      <c r="K72" s="90">
        <f t="shared" ref="K72:K81" si="3">AVERAGE(C72*0.2222 + D72*0.3056 + E72*0.1667 + F72*0.1389 + I72*0.0556 + J72*0.1111)</f>
        <v>3.0836999999999999</v>
      </c>
      <c r="L72" s="87">
        <f>IF(PMI!$F$22=PMI!$B$43,PMI!$B45,IF(PMI!$F$22=PMI!$C$43,PMI!$C45,IF(PMI!$F$22=PMI!$D$44,PMI!$D45,IF(PMI!$F$22=PMI!$E$43,PMI!$E45,1))))</f>
        <v>2</v>
      </c>
      <c r="M72" s="44">
        <f>BNP!J92</f>
        <v>2</v>
      </c>
      <c r="N72" s="44">
        <f>IF('10 yr rate'!$E$21='10 yr rate'!$B$35,'10 yr rate'!$B37,IF('10 yr rate'!$E$21='10 yr rate'!$C$35,'10 yr rate'!$C37,IF('10 yr rate'!$E$21='10 yr rate'!$D$35,'10 yr rate'!$D37,IF('10 yr rate'!$E$21='10 yr rate'!$E$35,'10 yr rate'!$E37,1))))</f>
        <v>2</v>
      </c>
      <c r="O72" s="44">
        <f>IF('CPI(Inflation)'!$E$19='CPI(Inflation)'!$B$33,'CPI(Inflation)'!$B35,IF('CPI(Inflation)'!$E$19='CPI(Inflation)'!$C$33,'CPI(Inflation)'!$C35,IF('CPI(Inflation)'!$E$19='CPI(Inflation)'!$D$33,'CPI(Inflation)'!$D35,IF('CPI(Inflation)'!$E$19='CPI(Inflation)'!$E$33,'CPI(Inflation)'!$E35,1))))</f>
        <v>5</v>
      </c>
      <c r="P72" s="44">
        <f>'Baltic Dry Index'!B35</f>
        <v>5</v>
      </c>
      <c r="Q72" s="44">
        <f>IF(VIX!$F$6=VIX!$B$33,VIX!B35,IF(VIX!$F$6=VIX!$C$33,VIX!C35,IF(VIX!$F$6=VIX!$D$33,VIX!D35,IF(VIX!$F$6=VIX!$E$33,VIX!E35,1))))</f>
        <v>1</v>
      </c>
      <c r="R72" s="44">
        <f>IF(Currency!$F$6=Currency!$B$33,Currency!B35,IF(Currency!$F$6=Currency!$C$33,Currency!C35,IF(Currency!$F$6=Currency!$D$33,Currency!D35,IF(Currency!$F$6=Currency!$E$33,Currency!E35,1))))</f>
        <v>2</v>
      </c>
      <c r="S72" s="44">
        <f>IF(Unemployment!$F$6=Unemployment!$B$33,Unemployment!B35,IF(Unemployment!$F$6=Unemployment!$C$33,Unemployment!C35,IF(Unemployment!$F$6=Unemployment!$D$33,Unemployment!D35,IF(Unemployment!$F$6=Unemployment!$E$33,Unemployment!E35,1))))</f>
        <v>3</v>
      </c>
      <c r="T72" s="90">
        <f t="shared" si="2"/>
        <v>2.528</v>
      </c>
    </row>
    <row r="73" spans="2:27" x14ac:dyDescent="0.3">
      <c r="B73" s="53" t="s">
        <v>11</v>
      </c>
      <c r="C73" s="87">
        <f>IF(PMI!$F$21=PMI!$B$43,PMI!$B46,IF(PMI!$F$21=PMI!$C$43,PMI!$C46,IF(PMI!$F$21=PMI!$D$43,PMI!$D46,IF(PMI!$F$21=PMI!$E$43,PMI!$E46,1))))</f>
        <v>4</v>
      </c>
      <c r="D73" s="44">
        <f>BNP!I97</f>
        <v>5</v>
      </c>
      <c r="E73" s="44">
        <f>IF('10 yr rate'!$E$20='10 yr rate'!$B$35,'10 yr rate'!$B38,IF('10 yr rate'!$E$20='10 yr rate'!$C$35,'10 yr rate'!$C38,IF('10 yr rate'!$E$20='10 yr rate'!$D$35,'10 yr rate'!$D38,IF('10 yr rate'!$E$20='10 yr rate'!$E$35,'10 yr rate'!$E38,1))))</f>
        <v>4</v>
      </c>
      <c r="F73" s="44">
        <f>IF('CPI(Inflation)'!$E$18='CPI(Inflation)'!$B$33,'CPI(Inflation)'!$B36,IF('CPI(Inflation)'!$E$18='CPI(Inflation)'!$C$33,'CPI(Inflation)'!$C36,IF('CPI(Inflation)'!$E$18='CPI(Inflation)'!$D$33,'CPI(Inflation)'!$D36,IF('CPI(Inflation)'!$E$18='CPI(Inflation)'!$E$33,'CPI(Inflation)'!$E36,1))))</f>
        <v>4</v>
      </c>
      <c r="G73" s="44">
        <f>'Baltic Dry Index'!B36</f>
        <v>5</v>
      </c>
      <c r="H73" s="44">
        <f>IF(VIX!$F$5=VIX!$B$33,VIX!B36,IF(VIX!$F$5=VIX!$C$33,VIX!C36,IF(VIX!$F$5=VIX!$D$33,VIX!D36,IF(VIX!$F$5=VIX!$E$33,VIX!E36,1))))</f>
        <v>5</v>
      </c>
      <c r="I73" s="44">
        <f>IF(Currency!$F$5=Currency!$B$33,Currency!B36,IF(Currency!$F$5=Currency!$C$33,Currency!C36,IF(Currency!$F$5=Currency!$D$33,Currency!D36,IF(Currency!$F$5=Currency!$E$33,Currency!E36,1))))</f>
        <v>2</v>
      </c>
      <c r="J73" s="44">
        <f>IF(Unemployment!$F$5=Unemployment!$B$33,Unemployment!B36,IF(Unemployment!$F$5=Unemployment!$C$33,Unemployment!C36,IF(Unemployment!$F$5=Unemployment!$D$33,Unemployment!D36,IF(Unemployment!$F$5=Unemployment!$E$33,Unemployment!E36,1))))</f>
        <v>2</v>
      </c>
      <c r="K73" s="90">
        <f t="shared" si="3"/>
        <v>3.9726000000000004</v>
      </c>
      <c r="L73" s="87">
        <f>IF(PMI!$F$22=PMI!$B$43,PMI!$B46,IF(PMI!$F$22=PMI!$C$43,PMI!$C46,IF(PMI!$F$22=PMI!$D$44,PMI!$D46,IF(PMI!$F$22=PMI!$E$43,PMI!$E46,1))))</f>
        <v>4</v>
      </c>
      <c r="M73" s="44">
        <f>BNP!J97</f>
        <v>3</v>
      </c>
      <c r="N73" s="44">
        <f>IF('10 yr rate'!$E$21='10 yr rate'!$B$35,'10 yr rate'!$B38,IF('10 yr rate'!$E$21='10 yr rate'!$C$35,'10 yr rate'!$C38,IF('10 yr rate'!$E$21='10 yr rate'!$D$35,'10 yr rate'!$D38,IF('10 yr rate'!$E$21='10 yr rate'!$E$35,'10 yr rate'!$E38,1))))</f>
        <v>4</v>
      </c>
      <c r="O73" s="44">
        <f>IF('CPI(Inflation)'!$E$19='CPI(Inflation)'!$B$33,'CPI(Inflation)'!$B36,IF('CPI(Inflation)'!$E$19='CPI(Inflation)'!$C$33,'CPI(Inflation)'!$C36,IF('CPI(Inflation)'!$E$19='CPI(Inflation)'!$D$33,'CPI(Inflation)'!$D36,IF('CPI(Inflation)'!$E$19='CPI(Inflation)'!$E$33,'CPI(Inflation)'!$E36,1))))</f>
        <v>5</v>
      </c>
      <c r="P73" s="44">
        <f>'Baltic Dry Index'!B36</f>
        <v>5</v>
      </c>
      <c r="Q73" s="44">
        <f>IF(VIX!$F$6=VIX!$B$33,VIX!B36,IF(VIX!$F$6=VIX!$C$33,VIX!C36,IF(VIX!$F$6=VIX!$D$33,VIX!D36,IF(VIX!$F$6=VIX!$E$33,VIX!E36,1))))</f>
        <v>1</v>
      </c>
      <c r="R73" s="44">
        <f>IF(Currency!$F$6=Currency!$B$33,Currency!B36,IF(Currency!$F$6=Currency!$C$33,Currency!C36,IF(Currency!$F$6=Currency!$D$33,Currency!D36,IF(Currency!$F$6=Currency!$E$33,Currency!E36,1))))</f>
        <v>4</v>
      </c>
      <c r="S73" s="44">
        <f>IF(Unemployment!$F$6=Unemployment!$B$33,Unemployment!B36,IF(Unemployment!$F$6=Unemployment!$C$33,Unemployment!C36,IF(Unemployment!$F$6=Unemployment!$D$33,Unemployment!D36,IF(Unemployment!$F$6=Unemployment!$E$33,Unemployment!E36,1))))</f>
        <v>2</v>
      </c>
      <c r="T73" s="90">
        <f t="shared" si="2"/>
        <v>3.6114999999999999</v>
      </c>
    </row>
    <row r="74" spans="2:27" x14ac:dyDescent="0.3">
      <c r="B74" s="53" t="s">
        <v>12</v>
      </c>
      <c r="C74" s="87">
        <f>IF(PMI!$F$21=PMI!$B$43,PMI!$B47,IF(PMI!$F$21=PMI!$C$43,PMI!$C47,IF(PMI!$F$21=PMI!$D$43,PMI!$D47,IF(PMI!$F$21=PMI!$E$43,PMI!$E47,1))))</f>
        <v>5</v>
      </c>
      <c r="D74" s="44">
        <f>BNP!I102</f>
        <v>4</v>
      </c>
      <c r="E74" s="44">
        <f>IF('10 yr rate'!$E$20='10 yr rate'!$B$35,'10 yr rate'!$B39,IF('10 yr rate'!$E$20='10 yr rate'!$C$35,'10 yr rate'!$C39,IF('10 yr rate'!$E$20='10 yr rate'!$D$35,'10 yr rate'!$D39,IF('10 yr rate'!$E$20='10 yr rate'!$E$35,'10 yr rate'!$E39,1))))</f>
        <v>5</v>
      </c>
      <c r="F74" s="44">
        <f>IF('CPI(Inflation)'!$E$18='CPI(Inflation)'!$B$33,'CPI(Inflation)'!$B37,IF('CPI(Inflation)'!$E$18='CPI(Inflation)'!$C$33,'CPI(Inflation)'!$C37,IF('CPI(Inflation)'!$E$18='CPI(Inflation)'!$D$33,'CPI(Inflation)'!$D37,IF('CPI(Inflation)'!$E$18='CPI(Inflation)'!$E$33,'CPI(Inflation)'!$E37,1))))</f>
        <v>5</v>
      </c>
      <c r="G74" s="44">
        <f>'Baltic Dry Index'!B37</f>
        <v>4</v>
      </c>
      <c r="H74" s="44">
        <f>IF(VIX!$F$5=VIX!$B$33,VIX!B37,IF(VIX!$F$5=VIX!$C$33,VIX!C37,IF(VIX!$F$5=VIX!$D$33,VIX!D37,IF(VIX!$F$5=VIX!$E$33,VIX!E37,1))))</f>
        <v>4</v>
      </c>
      <c r="I74" s="44">
        <f>IF(Currency!$F$5=Currency!$B$33,Currency!B37,IF(Currency!$F$5=Currency!$C$33,Currency!C37,IF(Currency!$F$5=Currency!$D$33,Currency!D37,IF(Currency!$F$5=Currency!$E$33,Currency!E37,1))))</f>
        <v>3</v>
      </c>
      <c r="J74" s="44">
        <f>IF(Unemployment!$F$5=Unemployment!$B$33,Unemployment!B37,IF(Unemployment!$F$5=Unemployment!$C$33,Unemployment!C37,IF(Unemployment!$F$5=Unemployment!$D$33,Unemployment!D37,IF(Unemployment!$F$5=Unemployment!$E$33,Unemployment!E37,1))))</f>
        <v>3</v>
      </c>
      <c r="K74" s="90">
        <f t="shared" si="3"/>
        <v>4.3615000000000004</v>
      </c>
      <c r="L74" s="87">
        <f>IF(PMI!$F$22=PMI!$B$43,PMI!$B47,IF(PMI!$F$22=PMI!$C$43,PMI!$C47,IF(PMI!$F$22=PMI!$D$44,PMI!$D47,IF(PMI!$F$22=PMI!$E$43,PMI!$E47,1))))</f>
        <v>5</v>
      </c>
      <c r="M74" s="44">
        <f>BNP!J102</f>
        <v>4</v>
      </c>
      <c r="N74" s="44">
        <f>IF('10 yr rate'!$E$21='10 yr rate'!$B$35,'10 yr rate'!$B39,IF('10 yr rate'!$E$21='10 yr rate'!$C$35,'10 yr rate'!$C39,IF('10 yr rate'!$E$21='10 yr rate'!$D$35,'10 yr rate'!$D39,IF('10 yr rate'!$E$21='10 yr rate'!$E$35,'10 yr rate'!$E39,1))))</f>
        <v>5</v>
      </c>
      <c r="O74" s="44">
        <f>IF('CPI(Inflation)'!$E$19='CPI(Inflation)'!$B$33,'CPI(Inflation)'!$B37,IF('CPI(Inflation)'!$E$19='CPI(Inflation)'!$C$33,'CPI(Inflation)'!$C37,IF('CPI(Inflation)'!$E$19='CPI(Inflation)'!$D$33,'CPI(Inflation)'!$D37,IF('CPI(Inflation)'!$E$19='CPI(Inflation)'!$E$33,'CPI(Inflation)'!$E37,1))))</f>
        <v>4</v>
      </c>
      <c r="P74" s="44">
        <f>'Baltic Dry Index'!B37</f>
        <v>4</v>
      </c>
      <c r="Q74" s="44">
        <f>IF(VIX!$F$6=VIX!$B$33,VIX!B37,IF(VIX!$F$6=VIX!$C$33,VIX!C37,IF(VIX!$F$6=VIX!$D$33,VIX!D37,IF(VIX!$F$6=VIX!$E$33,VIX!E37,1))))</f>
        <v>1</v>
      </c>
      <c r="R74" s="44">
        <f>IF(Currency!$F$6=Currency!$B$33,Currency!B37,IF(Currency!$F$6=Currency!$C$33,Currency!C37,IF(Currency!$F$6=Currency!$D$33,Currency!D37,IF(Currency!$F$6=Currency!$E$33,Currency!E37,1))))</f>
        <v>5</v>
      </c>
      <c r="S74" s="44">
        <f>IF(Unemployment!$F$6=Unemployment!$B$33,Unemployment!B37,IF(Unemployment!$F$6=Unemployment!$C$33,Unemployment!C37,IF(Unemployment!$F$6=Unemployment!$D$33,Unemployment!D37,IF(Unemployment!$F$6=Unemployment!$E$33,Unemployment!E37,1))))</f>
        <v>3</v>
      </c>
      <c r="T74" s="90">
        <f t="shared" si="2"/>
        <v>4.3338000000000001</v>
      </c>
    </row>
    <row r="75" spans="2:27" x14ac:dyDescent="0.3">
      <c r="B75" s="53" t="s">
        <v>13</v>
      </c>
      <c r="C75" s="87">
        <f>IF(PMI!$F$21=PMI!$B$43,PMI!$B48,IF(PMI!$F$21=PMI!$C$43,PMI!$C48,IF(PMI!$F$21=PMI!$D$43,PMI!$D48,IF(PMI!$F$21=PMI!$E$43,PMI!$E48,1))))</f>
        <v>4</v>
      </c>
      <c r="D75" s="44">
        <f>BNP!I107</f>
        <v>5</v>
      </c>
      <c r="E75" s="44">
        <f>IF('10 yr rate'!$E$20='10 yr rate'!$B$35,'10 yr rate'!$B40,IF('10 yr rate'!$E$20='10 yr rate'!$C$35,'10 yr rate'!$C40,IF('10 yr rate'!$E$20='10 yr rate'!$D$35,'10 yr rate'!$D40,IF('10 yr rate'!$E$20='10 yr rate'!$E$35,'10 yr rate'!$E40,1))))</f>
        <v>4</v>
      </c>
      <c r="F75" s="44">
        <f>IF('CPI(Inflation)'!$E$18='CPI(Inflation)'!$B$33,'CPI(Inflation)'!$B38,IF('CPI(Inflation)'!$E$18='CPI(Inflation)'!$C$33,'CPI(Inflation)'!$C38,IF('CPI(Inflation)'!$E$18='CPI(Inflation)'!$D$33,'CPI(Inflation)'!$D38,IF('CPI(Inflation)'!$E$18='CPI(Inflation)'!$E$33,'CPI(Inflation)'!$E38,1))))</f>
        <v>4</v>
      </c>
      <c r="G75" s="44">
        <f>'Baltic Dry Index'!B38</f>
        <v>5</v>
      </c>
      <c r="H75" s="44">
        <f>IF(VIX!$F$5=VIX!$B$33,VIX!B38,IF(VIX!$F$5=VIX!$C$33,VIX!C38,IF(VIX!$F$5=VIX!$D$33,VIX!D38,IF(VIX!$F$5=VIX!$E$33,VIX!E38,1))))</f>
        <v>5</v>
      </c>
      <c r="I75" s="44">
        <f>IF(Currency!$F$5=Currency!$B$33,Currency!B38,IF(Currency!$F$5=Currency!$C$33,Currency!C38,IF(Currency!$F$5=Currency!$D$33,Currency!D38,IF(Currency!$F$5=Currency!$E$33,Currency!E38,1))))</f>
        <v>2</v>
      </c>
      <c r="J75" s="44">
        <f>IF(Unemployment!$F$5=Unemployment!$B$33,Unemployment!B38,IF(Unemployment!$F$5=Unemployment!$C$33,Unemployment!C38,IF(Unemployment!$F$5=Unemployment!$D$33,Unemployment!D38,IF(Unemployment!$F$5=Unemployment!$E$33,Unemployment!E38,1))))</f>
        <v>2</v>
      </c>
      <c r="K75" s="90">
        <f t="shared" si="3"/>
        <v>3.9726000000000004</v>
      </c>
      <c r="L75" s="87">
        <f>IF(PMI!$F$22=PMI!$B$43,PMI!$B48,IF(PMI!$F$22=PMI!$C$43,PMI!$C48,IF(PMI!$F$22=PMI!$D$44,PMI!$D48,IF(PMI!$F$22=PMI!$E$43,PMI!$E48,1))))</f>
        <v>4</v>
      </c>
      <c r="M75" s="44">
        <f>BNP!J107</f>
        <v>3</v>
      </c>
      <c r="N75" s="44">
        <f>IF('10 yr rate'!$E$21='10 yr rate'!$B$35,'10 yr rate'!$B40,IF('10 yr rate'!$E$21='10 yr rate'!$C$35,'10 yr rate'!$C40,IF('10 yr rate'!$E$21='10 yr rate'!$D$35,'10 yr rate'!$D40,IF('10 yr rate'!$E$21='10 yr rate'!$E$35,'10 yr rate'!$E40,1))))</f>
        <v>4</v>
      </c>
      <c r="O75" s="44">
        <f>IF('CPI(Inflation)'!$E$19='CPI(Inflation)'!$B$33,'CPI(Inflation)'!$B38,IF('CPI(Inflation)'!$E$19='CPI(Inflation)'!$C$33,'CPI(Inflation)'!$C38,IF('CPI(Inflation)'!$E$19='CPI(Inflation)'!$D$33,'CPI(Inflation)'!$D38,IF('CPI(Inflation)'!$E$19='CPI(Inflation)'!$E$33,'CPI(Inflation)'!$E38,1))))</f>
        <v>5</v>
      </c>
      <c r="P75" s="44">
        <f>'Baltic Dry Index'!B38</f>
        <v>5</v>
      </c>
      <c r="Q75" s="44">
        <f>IF(VIX!$F$6=VIX!$B$33,VIX!B38,IF(VIX!$F$6=VIX!$C$33,VIX!C38,IF(VIX!$F$6=VIX!$D$33,VIX!D38,IF(VIX!$F$6=VIX!$E$33,VIX!E38,1))))</f>
        <v>1</v>
      </c>
      <c r="R75" s="44">
        <f>IF(Currency!$F$6=Currency!$B$33,Currency!B38,IF(Currency!$F$6=Currency!$C$33,Currency!C38,IF(Currency!$F$6=Currency!$D$33,Currency!D38,IF(Currency!$F$6=Currency!$E$33,Currency!E38,1))))</f>
        <v>4</v>
      </c>
      <c r="S75" s="44">
        <f>IF(Unemployment!$F$6=Unemployment!$B$33,Unemployment!B38,IF(Unemployment!$F$6=Unemployment!$C$33,Unemployment!C38,IF(Unemployment!$F$6=Unemployment!$D$33,Unemployment!D38,IF(Unemployment!$F$6=Unemployment!$E$33,Unemployment!E38,1))))</f>
        <v>2</v>
      </c>
      <c r="T75" s="90">
        <f t="shared" si="2"/>
        <v>3.6114999999999999</v>
      </c>
    </row>
    <row r="76" spans="2:27" x14ac:dyDescent="0.3">
      <c r="B76" s="53" t="s">
        <v>14</v>
      </c>
      <c r="C76" s="87">
        <f>IF(PMI!$F$21=PMI!$B$43,PMI!$B49,IF(PMI!$F$21=PMI!$C$43,PMI!$C49,IF(PMI!$F$21=PMI!$D$43,PMI!$D49,IF(PMI!$F$21=PMI!$E$43,PMI!$E49,1))))</f>
        <v>2</v>
      </c>
      <c r="D76" s="44">
        <f>BNP!I112</f>
        <v>4</v>
      </c>
      <c r="E76" s="44">
        <f>IF('10 yr rate'!$E$20='10 yr rate'!$B$35,'10 yr rate'!$B41,IF('10 yr rate'!$E$20='10 yr rate'!$C$35,'10 yr rate'!$C41,IF('10 yr rate'!$E$20='10 yr rate'!$D$35,'10 yr rate'!$D41,IF('10 yr rate'!$E$20='10 yr rate'!$E$35,'10 yr rate'!$E41,1))))</f>
        <v>2</v>
      </c>
      <c r="F76" s="44">
        <f>IF('CPI(Inflation)'!$E$18='CPI(Inflation)'!$B$33,'CPI(Inflation)'!$B39,IF('CPI(Inflation)'!$E$18='CPI(Inflation)'!$C$33,'CPI(Inflation)'!$C39,IF('CPI(Inflation)'!$E$18='CPI(Inflation)'!$D$33,'CPI(Inflation)'!$D39,IF('CPI(Inflation)'!$E$18='CPI(Inflation)'!$E$33,'CPI(Inflation)'!$E39,1))))</f>
        <v>2</v>
      </c>
      <c r="G76" s="44">
        <f>'Baltic Dry Index'!B39</f>
        <v>4</v>
      </c>
      <c r="H76" s="44">
        <f>IF(VIX!$F$5=VIX!$B$33,VIX!B39,IF(VIX!$F$5=VIX!$C$33,VIX!C39,IF(VIX!$F$5=VIX!$D$33,VIX!D39,IF(VIX!$F$5=VIX!$E$33,VIX!E39,1))))</f>
        <v>4</v>
      </c>
      <c r="I76" s="44">
        <f>IF(Currency!$F$5=Currency!$B$33,Currency!B39,IF(Currency!$F$5=Currency!$C$33,Currency!C39,IF(Currency!$F$5=Currency!$D$33,Currency!D39,IF(Currency!$F$5=Currency!$E$33,Currency!E39,1))))</f>
        <v>3</v>
      </c>
      <c r="J76" s="44">
        <f>IF(Unemployment!$F$5=Unemployment!$B$33,Unemployment!B39,IF(Unemployment!$F$5=Unemployment!$C$33,Unemployment!C39,IF(Unemployment!$F$5=Unemployment!$D$33,Unemployment!D39,IF(Unemployment!$F$5=Unemployment!$E$33,Unemployment!E39,1))))</f>
        <v>3</v>
      </c>
      <c r="K76" s="90">
        <f t="shared" si="3"/>
        <v>2.7780999999999998</v>
      </c>
      <c r="L76" s="87">
        <f>IF(PMI!$F$22=PMI!$B$43,PMI!$B49,IF(PMI!$F$22=PMI!$C$43,PMI!$C49,IF(PMI!$F$22=PMI!$D$44,PMI!$D49,IF(PMI!$F$22=PMI!$E$43,PMI!$E49,1))))</f>
        <v>2</v>
      </c>
      <c r="M76" s="44">
        <f>BNP!J112</f>
        <v>1</v>
      </c>
      <c r="N76" s="44">
        <f>IF('10 yr rate'!$E$21='10 yr rate'!$B$35,'10 yr rate'!$B41,IF('10 yr rate'!$E$21='10 yr rate'!$C$35,'10 yr rate'!$C41,IF('10 yr rate'!$E$21='10 yr rate'!$D$35,'10 yr rate'!$D41,IF('10 yr rate'!$E$21='10 yr rate'!$E$35,'10 yr rate'!$E41,1))))</f>
        <v>2</v>
      </c>
      <c r="O76" s="44">
        <f>IF('CPI(Inflation)'!$E$19='CPI(Inflation)'!$B$33,'CPI(Inflation)'!$B39,IF('CPI(Inflation)'!$E$19='CPI(Inflation)'!$C$33,'CPI(Inflation)'!$C39,IF('CPI(Inflation)'!$E$19='CPI(Inflation)'!$D$33,'CPI(Inflation)'!$D39,IF('CPI(Inflation)'!$E$19='CPI(Inflation)'!$E$33,'CPI(Inflation)'!$E39,1))))</f>
        <v>4</v>
      </c>
      <c r="P76" s="44">
        <f>'Baltic Dry Index'!B39</f>
        <v>4</v>
      </c>
      <c r="Q76" s="44">
        <f>IF(VIX!$F$6=VIX!$B$33,VIX!B39,IF(VIX!$F$6=VIX!$C$33,VIX!C39,IF(VIX!$F$6=VIX!$D$33,VIX!D39,IF(VIX!$F$6=VIX!$E$33,VIX!E39,1))))</f>
        <v>2</v>
      </c>
      <c r="R76" s="44">
        <f>IF(Currency!$F$6=Currency!$B$33,Currency!B39,IF(Currency!$F$6=Currency!$C$33,Currency!C39,IF(Currency!$F$6=Currency!$D$33,Currency!D39,IF(Currency!$F$6=Currency!$E$33,Currency!E39,1))))</f>
        <v>2</v>
      </c>
      <c r="S76" s="44">
        <f>IF(Unemployment!$F$6=Unemployment!$B$33,Unemployment!B39,IF(Unemployment!$F$6=Unemployment!$C$33,Unemployment!C39,IF(Unemployment!$F$6=Unemployment!$D$33,Unemployment!D39,IF(Unemployment!$F$6=Unemployment!$E$33,Unemployment!E39,1))))</f>
        <v>3</v>
      </c>
      <c r="T76" s="90">
        <f t="shared" si="2"/>
        <v>2.0834999999999999</v>
      </c>
    </row>
    <row r="77" spans="2:27" x14ac:dyDescent="0.3">
      <c r="B77" s="53" t="s">
        <v>15</v>
      </c>
      <c r="C77" s="87">
        <f>IF(PMI!$F$21=PMI!$B$43,PMI!$B50,IF(PMI!$F$21=PMI!$C$43,PMI!$C50,IF(PMI!$F$21=PMI!$D$43,PMI!$D50,IF(PMI!$F$21=PMI!$E$43,PMI!$E50,1))))</f>
        <v>2</v>
      </c>
      <c r="D77" s="44">
        <f>BNP!I117</f>
        <v>3</v>
      </c>
      <c r="E77" s="44">
        <f>IF('10 yr rate'!$E$20='10 yr rate'!$B$35,'10 yr rate'!$B42,IF('10 yr rate'!$E$20='10 yr rate'!$C$35,'10 yr rate'!$C42,IF('10 yr rate'!$E$20='10 yr rate'!$D$35,'10 yr rate'!$D42,IF('10 yr rate'!$E$20='10 yr rate'!$E$35,'10 yr rate'!$E42,1))))</f>
        <v>2</v>
      </c>
      <c r="F77" s="44">
        <f>IF('CPI(Inflation)'!$E$18='CPI(Inflation)'!$B$33,'CPI(Inflation)'!$B40,IF('CPI(Inflation)'!$E$18='CPI(Inflation)'!$C$33,'CPI(Inflation)'!$C40,IF('CPI(Inflation)'!$E$18='CPI(Inflation)'!$D$33,'CPI(Inflation)'!$D40,IF('CPI(Inflation)'!$E$18='CPI(Inflation)'!$E$33,'CPI(Inflation)'!$E40,1))))</f>
        <v>2</v>
      </c>
      <c r="G77" s="44">
        <f>'Baltic Dry Index'!B40</f>
        <v>2</v>
      </c>
      <c r="H77" s="44">
        <f>IF(VIX!$F$5=VIX!$B$33,VIX!B40,IF(VIX!$F$5=VIX!$C$33,VIX!C40,IF(VIX!$F$5=VIX!$D$33,VIX!D40,IF(VIX!$F$5=VIX!$E$33,VIX!E40,1))))</f>
        <v>2</v>
      </c>
      <c r="I77" s="44">
        <f>IF(Currency!$F$5=Currency!$B$33,Currency!B40,IF(Currency!$F$5=Currency!$C$33,Currency!C40,IF(Currency!$F$5=Currency!$D$33,Currency!D40,IF(Currency!$F$5=Currency!$E$33,Currency!E40,1))))</f>
        <v>4</v>
      </c>
      <c r="J77" s="44">
        <f>IF(Unemployment!$F$5=Unemployment!$B$33,Unemployment!B40,IF(Unemployment!$F$5=Unemployment!$C$33,Unemployment!C40,IF(Unemployment!$F$5=Unemployment!$D$33,Unemployment!D40,IF(Unemployment!$F$5=Unemployment!$E$33,Unemployment!E40,1))))</f>
        <v>4</v>
      </c>
      <c r="K77" s="90">
        <f t="shared" si="3"/>
        <v>2.6391999999999998</v>
      </c>
      <c r="L77" s="87">
        <f>IF(PMI!$F$22=PMI!$B$43,PMI!$B50,IF(PMI!$F$22=PMI!$C$43,PMI!$C50,IF(PMI!$F$22=PMI!$D$44,PMI!$D50,IF(PMI!$F$22=PMI!$E$43,PMI!$E50,1))))</f>
        <v>2</v>
      </c>
      <c r="M77" s="44">
        <f>BNP!J117</f>
        <v>2</v>
      </c>
      <c r="N77" s="44">
        <f>IF('10 yr rate'!$E$21='10 yr rate'!$B$35,'10 yr rate'!$B42,IF('10 yr rate'!$E$21='10 yr rate'!$C$35,'10 yr rate'!$C42,IF('10 yr rate'!$E$21='10 yr rate'!$D$35,'10 yr rate'!$D42,IF('10 yr rate'!$E$21='10 yr rate'!$E$35,'10 yr rate'!$E42,1))))</f>
        <v>2</v>
      </c>
      <c r="O77" s="44">
        <f>IF('CPI(Inflation)'!$E$19='CPI(Inflation)'!$B$33,'CPI(Inflation)'!$B40,IF('CPI(Inflation)'!$E$19='CPI(Inflation)'!$C$33,'CPI(Inflation)'!$C40,IF('CPI(Inflation)'!$E$19='CPI(Inflation)'!$D$33,'CPI(Inflation)'!$D40,IF('CPI(Inflation)'!$E$19='CPI(Inflation)'!$E$33,'CPI(Inflation)'!$E40,1))))</f>
        <v>2</v>
      </c>
      <c r="P77" s="44">
        <f>'Baltic Dry Index'!B40</f>
        <v>2</v>
      </c>
      <c r="Q77" s="44">
        <f>IF(VIX!$F$6=VIX!$B$33,VIX!B40,IF(VIX!$F$6=VIX!$C$33,VIX!C40,IF(VIX!$F$6=VIX!$D$33,VIX!D40,IF(VIX!$F$6=VIX!$E$33,VIX!E40,1))))</f>
        <v>5</v>
      </c>
      <c r="R77" s="44">
        <f>IF(Currency!$F$6=Currency!$B$33,Currency!B40,IF(Currency!$F$6=Currency!$C$33,Currency!C40,IF(Currency!$F$6=Currency!$D$33,Currency!D40,IF(Currency!$F$6=Currency!$E$33,Currency!E40,1))))</f>
        <v>2</v>
      </c>
      <c r="S77" s="44">
        <f>IF(Unemployment!$F$6=Unemployment!$B$33,Unemployment!B40,IF(Unemployment!$F$6=Unemployment!$C$33,Unemployment!C40,IF(Unemployment!$F$6=Unemployment!$D$33,Unemployment!D40,IF(Unemployment!$F$6=Unemployment!$E$33,Unemployment!E40,1))))</f>
        <v>4</v>
      </c>
      <c r="T77" s="90">
        <f t="shared" si="2"/>
        <v>2.2223999999999999</v>
      </c>
    </row>
    <row r="78" spans="2:27" x14ac:dyDescent="0.3">
      <c r="B78" s="53" t="s">
        <v>16</v>
      </c>
      <c r="C78" s="87">
        <f>IF(PMI!$F$21=PMI!$B$43,PMI!$B51,IF(PMI!$F$21=PMI!$C$43,PMI!$C51,IF(PMI!$F$21=PMI!$D$43,PMI!$D51,IF(PMI!$F$21=PMI!$E$43,PMI!$E51,1))))</f>
        <v>3</v>
      </c>
      <c r="D78" s="44">
        <f>BNP!I122</f>
        <v>1</v>
      </c>
      <c r="E78" s="44">
        <f>IF('10 yr rate'!$E$20='10 yr rate'!$B$35,'10 yr rate'!$B43,IF('10 yr rate'!$E$20='10 yr rate'!$C$35,'10 yr rate'!$C43,IF('10 yr rate'!$E$20='10 yr rate'!$D$35,'10 yr rate'!$D43,IF('10 yr rate'!$E$20='10 yr rate'!$E$35,'10 yr rate'!$E43,1))))</f>
        <v>3</v>
      </c>
      <c r="F78" s="44">
        <f>IF('CPI(Inflation)'!$E$18='CPI(Inflation)'!$B$33,'CPI(Inflation)'!$B41,IF('CPI(Inflation)'!$E$18='CPI(Inflation)'!$C$33,'CPI(Inflation)'!$C41,IF('CPI(Inflation)'!$E$18='CPI(Inflation)'!$D$33,'CPI(Inflation)'!$D41,IF('CPI(Inflation)'!$E$18='CPI(Inflation)'!$E$33,'CPI(Inflation)'!$E41,1))))</f>
        <v>3</v>
      </c>
      <c r="G78" s="44">
        <f>'Baltic Dry Index'!B41</f>
        <v>2</v>
      </c>
      <c r="H78" s="44">
        <f>IF(VIX!$F$5=VIX!$B$33,VIX!B41,IF(VIX!$F$5=VIX!$C$33,VIX!C41,IF(VIX!$F$5=VIX!$D$33,VIX!D41,IF(VIX!$F$5=VIX!$E$33,VIX!E41,1))))</f>
        <v>2</v>
      </c>
      <c r="I78" s="44">
        <f>IF(Currency!$F$5=Currency!$B$33,Currency!B41,IF(Currency!$F$5=Currency!$C$33,Currency!C41,IF(Currency!$F$5=Currency!$D$33,Currency!D41,IF(Currency!$F$5=Currency!$E$33,Currency!E41,1))))</f>
        <v>3</v>
      </c>
      <c r="J78" s="44">
        <f>IF(Unemployment!$F$5=Unemployment!$B$33,Unemployment!B41,IF(Unemployment!$F$5=Unemployment!$C$33,Unemployment!C41,IF(Unemployment!$F$5=Unemployment!$D$33,Unemployment!D41,IF(Unemployment!$F$5=Unemployment!$E$33,Unemployment!E41,1))))</f>
        <v>3</v>
      </c>
      <c r="K78" s="90">
        <f t="shared" si="3"/>
        <v>2.3891</v>
      </c>
      <c r="L78" s="87">
        <f>IF(PMI!$F$22=PMI!$B$43,PMI!$B51,IF(PMI!$F$22=PMI!$C$43,PMI!$C51,IF(PMI!$F$22=PMI!$D$44,PMI!$D51,IF(PMI!$F$22=PMI!$E$43,PMI!$E51,1))))</f>
        <v>3</v>
      </c>
      <c r="M78" s="44">
        <f>BNP!J122</f>
        <v>3</v>
      </c>
      <c r="N78" s="44">
        <f>IF('10 yr rate'!$E$21='10 yr rate'!$B$35,'10 yr rate'!$B43,IF('10 yr rate'!$E$21='10 yr rate'!$C$35,'10 yr rate'!$C43,IF('10 yr rate'!$E$21='10 yr rate'!$D$35,'10 yr rate'!$D43,IF('10 yr rate'!$E$21='10 yr rate'!$E$35,'10 yr rate'!$E43,1))))</f>
        <v>3</v>
      </c>
      <c r="O78" s="44">
        <f>IF('CPI(Inflation)'!$E$19='CPI(Inflation)'!$B$33,'CPI(Inflation)'!$B41,IF('CPI(Inflation)'!$E$19='CPI(Inflation)'!$C$33,'CPI(Inflation)'!$C41,IF('CPI(Inflation)'!$E$19='CPI(Inflation)'!$D$33,'CPI(Inflation)'!$D41,IF('CPI(Inflation)'!$E$19='CPI(Inflation)'!$E$33,'CPI(Inflation)'!$E41,1))))</f>
        <v>2</v>
      </c>
      <c r="P78" s="44">
        <f>'Baltic Dry Index'!B41</f>
        <v>2</v>
      </c>
      <c r="Q78" s="44">
        <f>IF(VIX!$F$6=VIX!$B$33,VIX!B41,IF(VIX!$F$6=VIX!$C$33,VIX!C41,IF(VIX!$F$6=VIX!$D$33,VIX!D41,IF(VIX!$F$6=VIX!$E$33,VIX!E41,1))))</f>
        <v>5</v>
      </c>
      <c r="R78" s="44">
        <f>IF(Currency!$F$6=Currency!$B$33,Currency!B41,IF(Currency!$F$6=Currency!$C$33,Currency!C41,IF(Currency!$F$6=Currency!$D$33,Currency!D41,IF(Currency!$F$6=Currency!$E$33,Currency!E41,1))))</f>
        <v>3</v>
      </c>
      <c r="S78" s="44">
        <f>IF(Unemployment!$F$6=Unemployment!$B$33,Unemployment!B41,IF(Unemployment!$F$6=Unemployment!$C$33,Unemployment!C41,IF(Unemployment!$F$6=Unemployment!$D$33,Unemployment!D41,IF(Unemployment!$F$6=Unemployment!$E$33,Unemployment!E41,1))))</f>
        <v>3</v>
      </c>
      <c r="T78" s="90">
        <f t="shared" si="2"/>
        <v>2.8613999999999997</v>
      </c>
    </row>
    <row r="79" spans="2:27" x14ac:dyDescent="0.3">
      <c r="B79" s="53" t="s">
        <v>17</v>
      </c>
      <c r="C79" s="87">
        <f>IF(PMI!$F$21=PMI!$B$43,PMI!$B52,IF(PMI!$F$21=PMI!$C$43,PMI!$C52,IF(PMI!$F$21=PMI!$D$43,PMI!$D52,IF(PMI!$F$21=PMI!$E$43,PMI!$E52,1))))</f>
        <v>3</v>
      </c>
      <c r="D79" s="44">
        <f>BNP!I127</f>
        <v>1</v>
      </c>
      <c r="E79" s="44">
        <f>IF('10 yr rate'!$E$20='10 yr rate'!$B$35,'10 yr rate'!$B44,IF('10 yr rate'!$E$20='10 yr rate'!$C$35,'10 yr rate'!$C44,IF('10 yr rate'!$E$20='10 yr rate'!$D$35,'10 yr rate'!$D44,IF('10 yr rate'!$E$20='10 yr rate'!$E$35,'10 yr rate'!$E44,1))))</f>
        <v>3</v>
      </c>
      <c r="F79" s="44">
        <f>IF('CPI(Inflation)'!$E$18='CPI(Inflation)'!$B$33,'CPI(Inflation)'!$B42,IF('CPI(Inflation)'!$E$18='CPI(Inflation)'!$C$33,'CPI(Inflation)'!$C42,IF('CPI(Inflation)'!$E$18='CPI(Inflation)'!$D$33,'CPI(Inflation)'!$D42,IF('CPI(Inflation)'!$E$18='CPI(Inflation)'!$E$33,'CPI(Inflation)'!$E42,1))))</f>
        <v>3</v>
      </c>
      <c r="G79" s="44">
        <f>'Baltic Dry Index'!B42</f>
        <v>2</v>
      </c>
      <c r="H79" s="44">
        <f>IF(VIX!$F$5=VIX!$B$33,VIX!B42,IF(VIX!$F$5=VIX!$C$33,VIX!C42,IF(VIX!$F$5=VIX!$D$33,VIX!D42,IF(VIX!$F$5=VIX!$E$33,VIX!E42,1))))</f>
        <v>2</v>
      </c>
      <c r="I79" s="44">
        <f>IF(Currency!$F$5=Currency!$B$33,Currency!B42,IF(Currency!$F$5=Currency!$C$33,Currency!C42,IF(Currency!$F$5=Currency!$D$33,Currency!D42,IF(Currency!$F$5=Currency!$E$33,Currency!E42,1))))</f>
        <v>5</v>
      </c>
      <c r="J79" s="44">
        <f>IF(Unemployment!$F$5=Unemployment!$B$33,Unemployment!B42,IF(Unemployment!$F$5=Unemployment!$C$33,Unemployment!C42,IF(Unemployment!$F$5=Unemployment!$D$33,Unemployment!D42,IF(Unemployment!$F$5=Unemployment!$E$33,Unemployment!E42,1))))</f>
        <v>5</v>
      </c>
      <c r="K79" s="90">
        <f t="shared" si="3"/>
        <v>2.7225000000000001</v>
      </c>
      <c r="L79" s="87">
        <f>IF(PMI!$F$22=PMI!$B$43,PMI!$B52,IF(PMI!$F$22=PMI!$C$43,PMI!$C52,IF(PMI!$F$22=PMI!$D$44,PMI!$D52,IF(PMI!$F$22=PMI!$E$43,PMI!$E52,1))))</f>
        <v>3</v>
      </c>
      <c r="M79" s="44">
        <f>BNP!J127</f>
        <v>3</v>
      </c>
      <c r="N79" s="44">
        <f>IF('10 yr rate'!$E$21='10 yr rate'!$B$35,'10 yr rate'!$B44,IF('10 yr rate'!$E$21='10 yr rate'!$C$35,'10 yr rate'!$C44,IF('10 yr rate'!$E$21='10 yr rate'!$D$35,'10 yr rate'!$D44,IF('10 yr rate'!$E$21='10 yr rate'!$E$35,'10 yr rate'!$E44,1))))</f>
        <v>3</v>
      </c>
      <c r="O79" s="44">
        <f>IF('CPI(Inflation)'!$E$19='CPI(Inflation)'!$B$33,'CPI(Inflation)'!$B42,IF('CPI(Inflation)'!$E$19='CPI(Inflation)'!$C$33,'CPI(Inflation)'!$C42,IF('CPI(Inflation)'!$E$19='CPI(Inflation)'!$D$33,'CPI(Inflation)'!$D42,IF('CPI(Inflation)'!$E$19='CPI(Inflation)'!$E$33,'CPI(Inflation)'!$E42,1))))</f>
        <v>2</v>
      </c>
      <c r="P79" s="44">
        <f>'Baltic Dry Index'!B42</f>
        <v>2</v>
      </c>
      <c r="Q79" s="44">
        <f>IF(VIX!$F$6=VIX!$B$33,VIX!B42,IF(VIX!$F$6=VIX!$C$33,VIX!C42,IF(VIX!$F$6=VIX!$D$33,VIX!D42,IF(VIX!$F$6=VIX!$E$33,VIX!E42,1))))</f>
        <v>1</v>
      </c>
      <c r="R79" s="44">
        <f>IF(Currency!$F$6=Currency!$B$33,Currency!B42,IF(Currency!$F$6=Currency!$C$33,Currency!C42,IF(Currency!$F$6=Currency!$D$33,Currency!D42,IF(Currency!$F$6=Currency!$E$33,Currency!E42,1))))</f>
        <v>3</v>
      </c>
      <c r="S79" s="44">
        <f>IF(Unemployment!$F$6=Unemployment!$B$33,Unemployment!B42,IF(Unemployment!$F$6=Unemployment!$C$33,Unemployment!C42,IF(Unemployment!$F$6=Unemployment!$D$33,Unemployment!D42,IF(Unemployment!$F$6=Unemployment!$E$33,Unemployment!E42,1))))</f>
        <v>5</v>
      </c>
      <c r="T79" s="90">
        <f t="shared" si="2"/>
        <v>3.0835999999999997</v>
      </c>
    </row>
    <row r="80" spans="2:27" x14ac:dyDescent="0.3">
      <c r="B80" s="53" t="s">
        <v>18</v>
      </c>
      <c r="C80" s="87">
        <f>IF(PMI!$F$21=PMI!$B$43,PMI!$B53,IF(PMI!$F$21=PMI!$C$43,PMI!$C53,IF(PMI!$F$21=PMI!$D$43,PMI!$D53,IF(PMI!$F$21=PMI!$E$43,PMI!$E53,1))))</f>
        <v>4</v>
      </c>
      <c r="D80" s="44">
        <f>BNP!I132</f>
        <v>3</v>
      </c>
      <c r="E80" s="44">
        <f>IF('10 yr rate'!$E$20='10 yr rate'!$B$35,'10 yr rate'!$B45,IF('10 yr rate'!$E$20='10 yr rate'!$C$35,'10 yr rate'!$C45,IF('10 yr rate'!$E$20='10 yr rate'!$D$35,'10 yr rate'!$D45,IF('10 yr rate'!$E$20='10 yr rate'!$E$35,'10 yr rate'!$E45,1))))</f>
        <v>4</v>
      </c>
      <c r="F80" s="44">
        <f>IF('CPI(Inflation)'!$E$18='CPI(Inflation)'!$B$33,'CPI(Inflation)'!$B43,IF('CPI(Inflation)'!$E$18='CPI(Inflation)'!$C$33,'CPI(Inflation)'!$C43,IF('CPI(Inflation)'!$E$18='CPI(Inflation)'!$D$33,'CPI(Inflation)'!$D43,IF('CPI(Inflation)'!$E$18='CPI(Inflation)'!$E$33,'CPI(Inflation)'!$E43,1))))</f>
        <v>4</v>
      </c>
      <c r="G80" s="44">
        <f>'Baltic Dry Index'!B43</f>
        <v>3</v>
      </c>
      <c r="H80" s="44">
        <f>IF(VIX!$F$5=VIX!$B$33,VIX!B43,IF(VIX!$F$5=VIX!$C$33,VIX!C43,IF(VIX!$F$5=VIX!$D$33,VIX!D43,IF(VIX!$F$5=VIX!$E$33,VIX!E43,1))))</f>
        <v>3</v>
      </c>
      <c r="I80" s="44">
        <f>IF(Currency!$F$5=Currency!$B$33,Currency!B43,IF(Currency!$F$5=Currency!$C$33,Currency!C43,IF(Currency!$F$5=Currency!$D$33,Currency!D43,IF(Currency!$F$5=Currency!$E$33,Currency!E43,1))))</f>
        <v>3</v>
      </c>
      <c r="J80" s="44">
        <f>IF(Unemployment!$F$5=Unemployment!$B$33,Unemployment!B43,IF(Unemployment!$F$5=Unemployment!$C$33,Unemployment!C43,IF(Unemployment!$F$5=Unemployment!$D$33,Unemployment!D43,IF(Unemployment!$F$5=Unemployment!$E$33,Unemployment!E43,1))))</f>
        <v>3</v>
      </c>
      <c r="K80" s="90">
        <f t="shared" si="3"/>
        <v>3.5280999999999998</v>
      </c>
      <c r="L80" s="87">
        <f>IF(PMI!$F$22=PMI!$B$43,PMI!$B53,IF(PMI!$F$22=PMI!$C$43,PMI!$C53,IF(PMI!$F$22=PMI!$D$44,PMI!$D53,IF(PMI!$F$22=PMI!$E$43,PMI!$E53,1))))</f>
        <v>4</v>
      </c>
      <c r="M80" s="44">
        <f>BNP!J132</f>
        <v>4</v>
      </c>
      <c r="N80" s="44">
        <f>IF('10 yr rate'!$E$21='10 yr rate'!$B$35,'10 yr rate'!$B45,IF('10 yr rate'!$E$21='10 yr rate'!$C$35,'10 yr rate'!$C45,IF('10 yr rate'!$E$21='10 yr rate'!$D$35,'10 yr rate'!$D45,IF('10 yr rate'!$E$21='10 yr rate'!$E$35,'10 yr rate'!$E45,1))))</f>
        <v>4</v>
      </c>
      <c r="O80" s="44">
        <f>IF('CPI(Inflation)'!$E$19='CPI(Inflation)'!$B$33,'CPI(Inflation)'!$B43,IF('CPI(Inflation)'!$E$19='CPI(Inflation)'!$C$33,'CPI(Inflation)'!$C43,IF('CPI(Inflation)'!$E$19='CPI(Inflation)'!$D$33,'CPI(Inflation)'!$D43,IF('CPI(Inflation)'!$E$19='CPI(Inflation)'!$E$33,'CPI(Inflation)'!$E43,1))))</f>
        <v>3</v>
      </c>
      <c r="P80" s="44">
        <f>'Baltic Dry Index'!B43</f>
        <v>3</v>
      </c>
      <c r="Q80" s="44">
        <f>IF(VIX!$F$6=VIX!$B$33,VIX!B43,IF(VIX!$F$6=VIX!$C$33,VIX!C43,IF(VIX!$F$6=VIX!$D$33,VIX!D43,IF(VIX!$F$6=VIX!$E$33,VIX!E43,1))))</f>
        <v>2</v>
      </c>
      <c r="R80" s="44">
        <f>IF(Currency!$F$6=Currency!$B$33,Currency!B43,IF(Currency!$F$6=Currency!$C$33,Currency!C43,IF(Currency!$F$6=Currency!$D$33,Currency!D43,IF(Currency!$F$6=Currency!$E$33,Currency!E43,1))))</f>
        <v>4</v>
      </c>
      <c r="S80" s="44">
        <f>IF(Unemployment!$F$6=Unemployment!$B$33,Unemployment!B43,IF(Unemployment!$F$6=Unemployment!$C$33,Unemployment!C43,IF(Unemployment!$F$6=Unemployment!$D$33,Unemployment!D43,IF(Unemployment!$F$6=Unemployment!$E$33,Unemployment!E43,1))))</f>
        <v>3</v>
      </c>
      <c r="T80" s="90">
        <f t="shared" si="2"/>
        <v>3.7504</v>
      </c>
    </row>
    <row r="81" spans="2:27" x14ac:dyDescent="0.3">
      <c r="B81" s="54" t="s">
        <v>19</v>
      </c>
      <c r="C81" s="88">
        <f>IF(PMI!$F$21=PMI!$B$43,PMI!$B54,IF(PMI!$F$21=PMI!$C$43,PMI!$C54,IF(PMI!$F$21=PMI!$D$43,PMI!$D54,IF(PMI!$F$21=PMI!$E$43,PMI!$E54,1))))</f>
        <v>2</v>
      </c>
      <c r="D81" s="55">
        <f>BNP!I137</f>
        <v>1</v>
      </c>
      <c r="E81" s="55">
        <f>IF('10 yr rate'!$E$20='10 yr rate'!$B$35,'10 yr rate'!$B46,IF('10 yr rate'!$E$20='10 yr rate'!$C$35,'10 yr rate'!$C46,IF('10 yr rate'!$E$20='10 yr rate'!$D$35,'10 yr rate'!$D46,IF('10 yr rate'!$E$20='10 yr rate'!$E$35,'10 yr rate'!$E46,1))))</f>
        <v>2</v>
      </c>
      <c r="F81" s="55">
        <f>IF('CPI(Inflation)'!$E$18='CPI(Inflation)'!$B$33,'CPI(Inflation)'!$B44,IF('CPI(Inflation)'!$E$18='CPI(Inflation)'!$C$33,'CPI(Inflation)'!$C44,IF('CPI(Inflation)'!$E$18='CPI(Inflation)'!$D$33,'CPI(Inflation)'!$D44,IF('CPI(Inflation)'!$E$18='CPI(Inflation)'!$E$33,'CPI(Inflation)'!$E44,1))))</f>
        <v>2</v>
      </c>
      <c r="G81" s="55">
        <f>'Baltic Dry Index'!B44</f>
        <v>2</v>
      </c>
      <c r="H81" s="55">
        <f>IF(VIX!$F$5=VIX!$B$33,VIX!B44,IF(VIX!$F$5=VIX!$C$33,VIX!C44,IF(VIX!$F$5=VIX!$D$33,VIX!D44,IF(VIX!$F$5=VIX!$E$33,VIX!E44,1))))</f>
        <v>2</v>
      </c>
      <c r="I81" s="55">
        <f>IF(Currency!$F$5=Currency!$B$33,Currency!B44,IF(Currency!$F$5=Currency!$C$33,Currency!C44,IF(Currency!$F$5=Currency!$D$33,Currency!D44,IF(Currency!$F$5=Currency!$E$33,Currency!E44,1))))</f>
        <v>4</v>
      </c>
      <c r="J81" s="55">
        <f>IF(Unemployment!$F$5=Unemployment!$B$33,Unemployment!B44,IF(Unemployment!$F$5=Unemployment!$C$33,Unemployment!C44,IF(Unemployment!$F$5=Unemployment!$D$33,Unemployment!D44,IF(Unemployment!$F$5=Unemployment!$E$33,Unemployment!E44,1))))</f>
        <v>4</v>
      </c>
      <c r="K81" s="90">
        <f t="shared" si="3"/>
        <v>2.028</v>
      </c>
      <c r="L81" s="88">
        <f>IF(PMI!$F$22=PMI!$B$43,PMI!$B54,IF(PMI!$F$22=PMI!$C$43,PMI!$C54,IF(PMI!$F$22=PMI!$D$44,PMI!$D54,IF(PMI!$F$22=PMI!$E$43,PMI!$E54,1))))</f>
        <v>2</v>
      </c>
      <c r="M81" s="55">
        <f>BNP!J137</f>
        <v>2</v>
      </c>
      <c r="N81" s="55">
        <f>IF('10 yr rate'!$E$21='10 yr rate'!$B$35,'10 yr rate'!$B46,IF('10 yr rate'!$E$21='10 yr rate'!$C$35,'10 yr rate'!$C46,IF('10 yr rate'!$E$21='10 yr rate'!$D$35,'10 yr rate'!$D46,IF('10 yr rate'!$E$21='10 yr rate'!$E$35,'10 yr rate'!$E46,1))))</f>
        <v>2</v>
      </c>
      <c r="O81" s="55">
        <f>IF('CPI(Inflation)'!$E$19='CPI(Inflation)'!$B$33,'CPI(Inflation)'!$B44,IF('CPI(Inflation)'!$E$19='CPI(Inflation)'!$C$33,'CPI(Inflation)'!$C44,IF('CPI(Inflation)'!$E$19='CPI(Inflation)'!$D$33,'CPI(Inflation)'!$D44,IF('CPI(Inflation)'!$E$19='CPI(Inflation)'!$E$33,'CPI(Inflation)'!$E44,1))))</f>
        <v>2</v>
      </c>
      <c r="P81" s="55">
        <f>'Baltic Dry Index'!B44</f>
        <v>2</v>
      </c>
      <c r="Q81" s="55">
        <f>IF(VIX!$F$6=VIX!$B$33,VIX!B44,IF(VIX!$F$6=VIX!$C$33,VIX!C44,IF(VIX!$F$6=VIX!$D$33,VIX!D44,IF(VIX!$F$6=VIX!$E$33,VIX!E44,1))))</f>
        <v>5</v>
      </c>
      <c r="R81" s="55">
        <f>IF(Currency!$F$6=Currency!$B$33,Currency!B44,IF(Currency!$F$6=Currency!$C$33,Currency!C44,IF(Currency!$F$6=Currency!$D$33,Currency!D44,IF(Currency!$F$6=Currency!$E$33,Currency!E44,1))))</f>
        <v>2</v>
      </c>
      <c r="S81" s="55">
        <f>IF(Unemployment!$F$6=Unemployment!$B$33,Unemployment!B44,IF(Unemployment!$F$6=Unemployment!$C$33,Unemployment!C44,IF(Unemployment!$F$6=Unemployment!$D$33,Unemployment!D44,IF(Unemployment!$F$6=Unemployment!$E$33,Unemployment!E44,1))))</f>
        <v>4</v>
      </c>
      <c r="T81" s="90">
        <f t="shared" si="2"/>
        <v>2.2223999999999999</v>
      </c>
    </row>
    <row r="82" spans="2:27" ht="15" customHeight="1" thickBot="1" x14ac:dyDescent="0.35"/>
    <row r="83" spans="2:27" x14ac:dyDescent="0.3">
      <c r="B83" s="58"/>
      <c r="C83" s="59"/>
      <c r="D83" s="59"/>
      <c r="E83" s="59"/>
      <c r="F83" s="59"/>
      <c r="G83" s="59"/>
      <c r="H83" s="59"/>
      <c r="I83" s="59"/>
      <c r="J83" s="59"/>
      <c r="K83" s="59"/>
      <c r="L83" s="59"/>
      <c r="M83" s="59"/>
      <c r="N83" s="59"/>
      <c r="O83" s="59"/>
      <c r="P83" s="59"/>
      <c r="Q83" s="59"/>
      <c r="R83" s="59"/>
      <c r="S83" s="59"/>
      <c r="T83" s="59"/>
      <c r="U83" s="59"/>
      <c r="V83" s="59"/>
      <c r="W83" s="59"/>
      <c r="X83" s="59"/>
      <c r="Y83" s="59"/>
      <c r="Z83" s="59"/>
      <c r="AA83" s="60"/>
    </row>
    <row r="84" spans="2:27" x14ac:dyDescent="0.3">
      <c r="B84" s="61"/>
      <c r="C84" s="62"/>
      <c r="D84" s="62"/>
      <c r="E84" s="62"/>
      <c r="F84" s="62"/>
      <c r="G84" s="62"/>
      <c r="H84" s="62"/>
      <c r="I84" s="62"/>
      <c r="J84" s="62"/>
      <c r="K84" s="62"/>
      <c r="L84" s="62"/>
      <c r="M84" s="62"/>
      <c r="N84" s="62"/>
      <c r="O84" s="62"/>
      <c r="P84" s="62"/>
      <c r="Q84" s="62"/>
      <c r="R84" s="62"/>
      <c r="S84" s="62"/>
      <c r="T84" s="62"/>
      <c r="U84" s="62"/>
      <c r="V84" s="62"/>
      <c r="W84" s="62"/>
      <c r="X84" s="62"/>
      <c r="Y84" s="62"/>
      <c r="Z84" s="62"/>
      <c r="AA84" s="63"/>
    </row>
    <row r="85" spans="2:27" x14ac:dyDescent="0.3">
      <c r="B85" s="61"/>
      <c r="C85" s="62"/>
      <c r="D85" s="62"/>
      <c r="E85" s="62"/>
      <c r="F85" s="62"/>
      <c r="G85" s="62"/>
      <c r="H85" s="62"/>
      <c r="I85" s="62"/>
      <c r="J85" s="62"/>
      <c r="K85" s="62"/>
      <c r="L85" s="62"/>
      <c r="M85" s="62"/>
      <c r="N85" s="62"/>
      <c r="O85" s="62"/>
      <c r="P85" s="62"/>
      <c r="Q85" s="62"/>
      <c r="R85" s="62"/>
      <c r="S85" s="62"/>
      <c r="T85" s="62"/>
      <c r="U85" s="62"/>
      <c r="V85" s="62"/>
      <c r="W85" s="62"/>
      <c r="X85" s="62"/>
      <c r="Y85" s="62"/>
      <c r="Z85" s="62"/>
      <c r="AA85" s="63"/>
    </row>
    <row r="86" spans="2:27" x14ac:dyDescent="0.3">
      <c r="B86" s="61"/>
      <c r="C86" s="62"/>
      <c r="D86" s="62"/>
      <c r="E86" s="62"/>
      <c r="F86" s="62"/>
      <c r="G86" s="62"/>
      <c r="H86" s="62"/>
      <c r="I86" s="62"/>
      <c r="J86" s="62"/>
      <c r="K86" s="62"/>
      <c r="L86" s="62"/>
      <c r="M86" s="62"/>
      <c r="N86" s="62"/>
      <c r="O86" s="62"/>
      <c r="P86" s="62"/>
      <c r="Q86" s="62"/>
      <c r="R86" s="62"/>
      <c r="S86" s="62"/>
      <c r="T86" s="62"/>
      <c r="U86" s="62"/>
      <c r="V86" s="62"/>
      <c r="W86" s="62"/>
      <c r="X86" s="62"/>
      <c r="Y86" s="62"/>
      <c r="Z86" s="62"/>
      <c r="AA86" s="63"/>
    </row>
    <row r="87" spans="2:27" x14ac:dyDescent="0.3">
      <c r="B87" s="61"/>
      <c r="C87" s="62"/>
      <c r="D87" s="62"/>
      <c r="E87" s="62"/>
      <c r="F87" s="62"/>
      <c r="G87" s="62"/>
      <c r="H87" s="62"/>
      <c r="I87" s="62"/>
      <c r="J87" s="62"/>
      <c r="K87" s="62"/>
      <c r="L87" s="62"/>
      <c r="M87" s="62"/>
      <c r="N87" s="62"/>
      <c r="O87" s="62"/>
      <c r="P87" s="62"/>
      <c r="Q87" s="62"/>
      <c r="R87" s="62"/>
      <c r="S87" s="62"/>
      <c r="T87" s="62"/>
      <c r="U87" s="62"/>
      <c r="V87" s="62"/>
      <c r="W87" s="62"/>
      <c r="X87" s="62"/>
      <c r="Y87" s="62"/>
      <c r="Z87" s="62"/>
      <c r="AA87" s="63"/>
    </row>
    <row r="88" spans="2:27" x14ac:dyDescent="0.3">
      <c r="B88" s="61"/>
      <c r="C88" s="62"/>
      <c r="D88" s="62"/>
      <c r="E88" s="62"/>
      <c r="F88" s="62"/>
      <c r="G88" s="62"/>
      <c r="H88" s="62"/>
      <c r="I88" s="62"/>
      <c r="J88" s="62"/>
      <c r="K88" s="62"/>
      <c r="L88" s="62"/>
      <c r="M88" s="62"/>
      <c r="N88" s="62"/>
      <c r="O88" s="62"/>
      <c r="P88" s="62"/>
      <c r="Q88" s="62"/>
      <c r="R88" s="62"/>
      <c r="S88" s="62"/>
      <c r="T88" s="62"/>
      <c r="U88" s="62"/>
      <c r="V88" s="62"/>
      <c r="W88" s="62"/>
      <c r="X88" s="62"/>
      <c r="Y88" s="62"/>
      <c r="Z88" s="62"/>
      <c r="AA88" s="63"/>
    </row>
    <row r="89" spans="2:27" x14ac:dyDescent="0.3">
      <c r="B89" s="61"/>
      <c r="C89" s="62"/>
      <c r="D89" s="62"/>
      <c r="E89" s="62"/>
      <c r="F89" s="62"/>
      <c r="G89" s="62"/>
      <c r="H89" s="62"/>
      <c r="I89" s="62"/>
      <c r="J89" s="62"/>
      <c r="K89" s="62"/>
      <c r="L89" s="62"/>
      <c r="M89" s="62"/>
      <c r="N89" s="62"/>
      <c r="O89" s="62"/>
      <c r="P89" s="62"/>
      <c r="Q89" s="62"/>
      <c r="R89" s="62"/>
      <c r="S89" s="62"/>
      <c r="T89" s="62"/>
      <c r="U89" s="62"/>
      <c r="V89" s="62"/>
      <c r="W89" s="62"/>
      <c r="X89" s="62"/>
      <c r="Y89" s="62"/>
      <c r="Z89" s="62"/>
      <c r="AA89" s="63"/>
    </row>
    <row r="90" spans="2:27" x14ac:dyDescent="0.3">
      <c r="B90" s="61"/>
      <c r="C90" s="62"/>
      <c r="D90" s="62"/>
      <c r="E90" s="62"/>
      <c r="F90" s="62"/>
      <c r="G90" s="62"/>
      <c r="H90" s="62"/>
      <c r="I90" s="62"/>
      <c r="J90" s="62"/>
      <c r="K90" s="62"/>
      <c r="L90" s="62"/>
      <c r="M90" s="62"/>
      <c r="N90" s="62"/>
      <c r="O90" s="62"/>
      <c r="P90" s="62"/>
      <c r="Q90" s="62"/>
      <c r="R90" s="62"/>
      <c r="S90" s="62"/>
      <c r="T90" s="62"/>
      <c r="U90" s="62"/>
      <c r="V90" s="62"/>
      <c r="W90" s="62"/>
      <c r="X90" s="62"/>
      <c r="Y90" s="62"/>
      <c r="Z90" s="62"/>
      <c r="AA90" s="63"/>
    </row>
    <row r="91" spans="2:27" x14ac:dyDescent="0.3">
      <c r="B91" s="61"/>
      <c r="C91" s="62"/>
      <c r="D91" s="62"/>
      <c r="E91" s="62"/>
      <c r="F91" s="62"/>
      <c r="G91" s="62"/>
      <c r="H91" s="62"/>
      <c r="I91" s="62"/>
      <c r="J91" s="62"/>
      <c r="K91" s="62"/>
      <c r="L91" s="62"/>
      <c r="M91" s="62"/>
      <c r="N91" s="62"/>
      <c r="O91" s="62"/>
      <c r="P91" s="62"/>
      <c r="Q91" s="62"/>
      <c r="R91" s="62"/>
      <c r="S91" s="62"/>
      <c r="T91" s="62"/>
      <c r="U91" s="62"/>
      <c r="V91" s="62"/>
      <c r="W91" s="62"/>
      <c r="X91" s="62"/>
      <c r="Y91" s="62"/>
      <c r="Z91" s="62"/>
      <c r="AA91" s="63"/>
    </row>
    <row r="92" spans="2:27" x14ac:dyDescent="0.3">
      <c r="B92" s="61"/>
      <c r="C92" s="62"/>
      <c r="D92" s="62"/>
      <c r="E92" s="62"/>
      <c r="F92" s="62"/>
      <c r="G92" s="62"/>
      <c r="H92" s="62"/>
      <c r="I92" s="62"/>
      <c r="J92" s="62"/>
      <c r="K92" s="62"/>
      <c r="L92" s="62"/>
      <c r="M92" s="62"/>
      <c r="N92" s="62"/>
      <c r="O92" s="62"/>
      <c r="P92" s="62"/>
      <c r="Q92" s="62"/>
      <c r="R92" s="62"/>
      <c r="S92" s="62"/>
      <c r="T92" s="62"/>
      <c r="U92" s="62"/>
      <c r="V92" s="62"/>
      <c r="W92" s="62"/>
      <c r="X92" s="62"/>
      <c r="Y92" s="62"/>
      <c r="Z92" s="62"/>
      <c r="AA92" s="63"/>
    </row>
    <row r="93" spans="2:27" x14ac:dyDescent="0.3">
      <c r="B93" s="61"/>
      <c r="C93" s="62"/>
      <c r="D93" s="62"/>
      <c r="E93" s="62"/>
      <c r="F93" s="62"/>
      <c r="G93" s="62"/>
      <c r="H93" s="62"/>
      <c r="I93" s="62"/>
      <c r="J93" s="62"/>
      <c r="K93" s="62"/>
      <c r="L93" s="62"/>
      <c r="M93" s="62"/>
      <c r="N93" s="62"/>
      <c r="O93" s="62"/>
      <c r="P93" s="62"/>
      <c r="Q93" s="62"/>
      <c r="R93" s="62"/>
      <c r="S93" s="62"/>
      <c r="T93" s="62"/>
      <c r="U93" s="62"/>
      <c r="V93" s="62"/>
      <c r="W93" s="62"/>
      <c r="X93" s="62"/>
      <c r="Y93" s="62"/>
      <c r="Z93" s="62"/>
      <c r="AA93" s="63"/>
    </row>
    <row r="94" spans="2:27" x14ac:dyDescent="0.3">
      <c r="B94" s="61"/>
      <c r="C94" s="62"/>
      <c r="D94" s="62"/>
      <c r="E94" s="62"/>
      <c r="F94" s="62"/>
      <c r="G94" s="62"/>
      <c r="H94" s="62"/>
      <c r="I94" s="62"/>
      <c r="J94" s="62"/>
      <c r="K94" s="62"/>
      <c r="L94" s="62"/>
      <c r="M94" s="62"/>
      <c r="N94" s="62"/>
      <c r="O94" s="62"/>
      <c r="P94" s="62"/>
      <c r="Q94" s="62"/>
      <c r="R94" s="62"/>
      <c r="S94" s="62"/>
      <c r="T94" s="62"/>
      <c r="U94" s="62"/>
      <c r="V94" s="62"/>
      <c r="W94" s="62"/>
      <c r="X94" s="62"/>
      <c r="Y94" s="62"/>
      <c r="Z94" s="62"/>
      <c r="AA94" s="63"/>
    </row>
    <row r="95" spans="2:27" x14ac:dyDescent="0.3">
      <c r="B95" s="61"/>
      <c r="C95" s="62"/>
      <c r="D95" s="62"/>
      <c r="E95" s="62"/>
      <c r="F95" s="62"/>
      <c r="G95" s="62"/>
      <c r="H95" s="62"/>
      <c r="I95" s="62"/>
      <c r="J95" s="62"/>
      <c r="K95" s="62"/>
      <c r="L95" s="62"/>
      <c r="M95" s="62"/>
      <c r="N95" s="62"/>
      <c r="O95" s="62"/>
      <c r="P95" s="62"/>
      <c r="Q95" s="62"/>
      <c r="R95" s="62"/>
      <c r="S95" s="62"/>
      <c r="T95" s="62"/>
      <c r="U95" s="62"/>
      <c r="V95" s="62"/>
      <c r="W95" s="62"/>
      <c r="X95" s="62"/>
      <c r="Y95" s="62"/>
      <c r="Z95" s="62"/>
      <c r="AA95" s="63"/>
    </row>
    <row r="96" spans="2:27" x14ac:dyDescent="0.3">
      <c r="B96" s="61"/>
      <c r="C96" s="62"/>
      <c r="D96" s="62"/>
      <c r="E96" s="62"/>
      <c r="F96" s="62"/>
      <c r="G96" s="62"/>
      <c r="H96" s="62"/>
      <c r="I96" s="62"/>
      <c r="J96" s="62"/>
      <c r="K96" s="62"/>
      <c r="L96" s="62"/>
      <c r="M96" s="62"/>
      <c r="N96" s="62"/>
      <c r="O96" s="62"/>
      <c r="P96" s="62"/>
      <c r="Q96" s="62"/>
      <c r="R96" s="62"/>
      <c r="S96" s="62"/>
      <c r="T96" s="62"/>
      <c r="U96" s="62"/>
      <c r="V96" s="62"/>
      <c r="W96" s="62"/>
      <c r="X96" s="62"/>
      <c r="Y96" s="62"/>
      <c r="Z96" s="62"/>
      <c r="AA96" s="63"/>
    </row>
    <row r="97" spans="2:27" x14ac:dyDescent="0.3">
      <c r="B97" s="61"/>
      <c r="C97" s="62"/>
      <c r="D97" s="62"/>
      <c r="E97" s="62"/>
      <c r="F97" s="62"/>
      <c r="G97" s="62"/>
      <c r="H97" s="62"/>
      <c r="I97" s="62"/>
      <c r="J97" s="62"/>
      <c r="K97" s="62"/>
      <c r="L97" s="62"/>
      <c r="M97" s="62"/>
      <c r="N97" s="62"/>
      <c r="O97" s="62"/>
      <c r="P97" s="62"/>
      <c r="Q97" s="62"/>
      <c r="R97" s="62"/>
      <c r="S97" s="62"/>
      <c r="T97" s="62"/>
      <c r="U97" s="62"/>
      <c r="V97" s="62"/>
      <c r="W97" s="62"/>
      <c r="X97" s="62"/>
      <c r="Y97" s="62"/>
      <c r="Z97" s="62"/>
      <c r="AA97" s="63"/>
    </row>
    <row r="98" spans="2:27" x14ac:dyDescent="0.3">
      <c r="B98" s="61"/>
      <c r="C98" s="62"/>
      <c r="D98" s="62"/>
      <c r="E98" s="62"/>
      <c r="F98" s="62"/>
      <c r="G98" s="62"/>
      <c r="H98" s="62"/>
      <c r="I98" s="62"/>
      <c r="J98" s="62"/>
      <c r="K98" s="62"/>
      <c r="L98" s="62"/>
      <c r="M98" s="62"/>
      <c r="N98" s="62"/>
      <c r="O98" s="62"/>
      <c r="P98" s="62"/>
      <c r="Q98" s="62"/>
      <c r="R98" s="62"/>
      <c r="S98" s="62"/>
      <c r="T98" s="62"/>
      <c r="U98" s="62"/>
      <c r="V98" s="62"/>
      <c r="W98" s="62"/>
      <c r="X98" s="62"/>
      <c r="Y98" s="62"/>
      <c r="Z98" s="62"/>
      <c r="AA98" s="63"/>
    </row>
    <row r="99" spans="2:27" x14ac:dyDescent="0.3">
      <c r="B99" s="61"/>
      <c r="C99" s="62"/>
      <c r="D99" s="62"/>
      <c r="E99" s="62"/>
      <c r="F99" s="62"/>
      <c r="G99" s="62"/>
      <c r="H99" s="62"/>
      <c r="I99" s="62"/>
      <c r="J99" s="62"/>
      <c r="K99" s="62"/>
      <c r="L99" s="62"/>
      <c r="M99" s="62"/>
      <c r="N99" s="62"/>
      <c r="O99" s="62"/>
      <c r="P99" s="62"/>
      <c r="Q99" s="62"/>
      <c r="R99" s="62"/>
      <c r="S99" s="62"/>
      <c r="T99" s="62"/>
      <c r="U99" s="62"/>
      <c r="V99" s="62"/>
      <c r="W99" s="62"/>
      <c r="X99" s="62"/>
      <c r="Y99" s="62"/>
      <c r="Z99" s="62"/>
      <c r="AA99" s="63"/>
    </row>
    <row r="100" spans="2:27" x14ac:dyDescent="0.3">
      <c r="B100" s="61"/>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3"/>
    </row>
    <row r="101" spans="2:27" x14ac:dyDescent="0.3">
      <c r="B101" s="61"/>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3"/>
    </row>
    <row r="102" spans="2:27" x14ac:dyDescent="0.3">
      <c r="B102" s="61"/>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3"/>
    </row>
    <row r="103" spans="2:27" x14ac:dyDescent="0.3">
      <c r="B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3"/>
    </row>
    <row r="104" spans="2:27" x14ac:dyDescent="0.3">
      <c r="B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3"/>
    </row>
    <row r="105" spans="2:27" x14ac:dyDescent="0.3">
      <c r="B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3"/>
    </row>
    <row r="106" spans="2:27" x14ac:dyDescent="0.3">
      <c r="B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3"/>
    </row>
    <row r="107" spans="2:27" ht="15" customHeight="1" thickBot="1" x14ac:dyDescent="0.35">
      <c r="B107" s="64"/>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6"/>
    </row>
    <row r="109" spans="2:27" x14ac:dyDescent="0.3">
      <c r="C109" s="45"/>
      <c r="D109" s="45"/>
      <c r="E109" s="45"/>
      <c r="F109" s="45"/>
      <c r="G109" s="45"/>
      <c r="H109" s="45"/>
      <c r="I109" s="45"/>
      <c r="J109" s="45"/>
      <c r="K109" s="45" t="str">
        <f>'Fremtid vækst'!$C$3</f>
        <v>Q1 2026</v>
      </c>
      <c r="L109" s="45"/>
      <c r="T109" s="45" t="str">
        <f>'Fremtid vækst'!$D$3</f>
        <v>Q2 2026</v>
      </c>
    </row>
    <row r="110" spans="2:27" ht="18" customHeight="1" x14ac:dyDescent="0.35">
      <c r="B110" s="49" t="s">
        <v>102</v>
      </c>
      <c r="C110" s="47" t="s">
        <v>94</v>
      </c>
      <c r="D110" s="47" t="s">
        <v>93</v>
      </c>
      <c r="E110" s="47" t="s">
        <v>109</v>
      </c>
      <c r="F110" s="47" t="s">
        <v>96</v>
      </c>
      <c r="G110" s="47" t="s">
        <v>97</v>
      </c>
      <c r="H110" s="47" t="s">
        <v>98</v>
      </c>
      <c r="I110" s="47" t="s">
        <v>111</v>
      </c>
      <c r="J110" s="47" t="s">
        <v>100</v>
      </c>
      <c r="K110" s="47" t="s">
        <v>110</v>
      </c>
      <c r="L110" s="47" t="s">
        <v>94</v>
      </c>
      <c r="M110" s="47" t="s">
        <v>93</v>
      </c>
      <c r="N110" s="47" t="s">
        <v>109</v>
      </c>
      <c r="O110" s="47" t="s">
        <v>96</v>
      </c>
      <c r="P110" s="47" t="s">
        <v>97</v>
      </c>
      <c r="Q110" s="47" t="s">
        <v>98</v>
      </c>
      <c r="R110" s="47" t="s">
        <v>111</v>
      </c>
      <c r="S110" s="47" t="s">
        <v>100</v>
      </c>
      <c r="T110" s="47" t="s">
        <v>110</v>
      </c>
    </row>
    <row r="111" spans="2:27" x14ac:dyDescent="0.3">
      <c r="B111" s="50" t="s">
        <v>9</v>
      </c>
      <c r="C111" s="85">
        <f>IF(PMI!$F$11=PMI!$B$43,PMI!$B44,IF(PMI!$F$11=PMI!$C$43,PMI!$C44,IF(PMI!$F$11=PMI!$D$43,PMI!$D44,IF(PMI!$F$11=PMI!$E$43,PMI!$E44,1))))</f>
        <v>4</v>
      </c>
      <c r="D111" s="89">
        <f>BNP!I88</f>
        <v>3</v>
      </c>
      <c r="E111" s="89">
        <f>IF('10 yr rate'!$E$10='10 yr rate'!$B$35,'10 yr rate'!$B36,IF('10 yr rate'!$E$10='10 yr rate'!$C$35,'10 yr rate'!$C36,IF('10 yr rate'!$E$10='10 yr rate'!$D$35,'10 yr rate'!$D36,IF('10 yr rate'!$E$10='10 yr rate'!$E$35,'10 yr rate'!$E36,1))))</f>
        <v>2</v>
      </c>
      <c r="F111" s="89">
        <f>IF('CPI(Inflation)'!$E$29='CPI(Inflation)'!$B$33,'CPI(Inflation)'!$B34,IF('CPI(Inflation)'!$E$29='CPI(Inflation)'!$C$33,'CPI(Inflation)'!$C34,IF('CPI(Inflation)'!$E$29='CPI(Inflation)'!$D$33,'CPI(Inflation)'!$D34,IF('CPI(Inflation)'!$E$29='CPI(Inflation)'!$E$33,'CPI(Inflation)'!$E34,1))))</f>
        <v>4</v>
      </c>
      <c r="G111" s="89">
        <f>'Baltic Dry Index'!B34</f>
        <v>4</v>
      </c>
      <c r="H111" s="89">
        <f>IF(VIX!$F$15=VIX!$B$33,VIX!B34,IF(VIX!$F$15=VIX!$C$33,VIX!C34,IF(VIX!$F$15=VIX!$D$33,VIX!D34,IF(VIX!$F$15=VIX!$E$33,VIX!E34,1))))</f>
        <v>4</v>
      </c>
      <c r="I111" s="89">
        <f>IF(Currency!$F$15=Currency!$B$33,Currency!B34,IF(Currency!$F$15=Currency!$C$33,Currency!C34,IF(Currency!$F$15=Currency!$D$33,Currency!D34,IF(Currency!$F$15=Currency!$E$33,Currency!E34,1))))</f>
        <v>2</v>
      </c>
      <c r="J111" s="89">
        <f>IF(Unemployment!$F$15=Unemployment!$B$33,Unemployment!B34,IF(Unemployment!$F$15=Unemployment!$C$33,Unemployment!C34,IF(Unemployment!$F$15=Unemployment!$D$33,Unemployment!D34,IF(Unemployment!$F$15=Unemployment!$E$33,Unemployment!E34,1))))</f>
        <v>4</v>
      </c>
      <c r="K111" s="90">
        <f>AVERAGE(C111*0.2222 + D111*0.3056 + E111*0.1667 + F111*0.1389 + I111*0.0556 + J111*0.1111)</f>
        <v>3.2502000000000004</v>
      </c>
      <c r="L111" s="85">
        <f>IF(PMI!$F$12=PMI!$B$43,PMI!$B44,IF(PMI!$F$12=PMI!$C$43,PMI!$C44,IF(PMI!$F$12=PMI!$D$44,PMI!$D44,IF(PMI!$F$12=PMI!$E$43,PMI!$E44,1))))</f>
        <v>4</v>
      </c>
      <c r="M111" s="89">
        <f>BNP!J88</f>
        <v>3</v>
      </c>
      <c r="N111" s="89">
        <f>IF('10 yr rate'!$E$11='10 yr rate'!$B$35,'10 yr rate'!$B36,IF('10 yr rate'!$E$11='10 yr rate'!$C$35,'10 yr rate'!$C36,IF('10 yr rate'!$E$11='10 yr rate'!$D$35,'10 yr rate'!$D36,IF('10 yr rate'!$E$11='10 yr rate'!$E$35,'10 yr rate'!$E36,1))))</f>
        <v>2</v>
      </c>
      <c r="O111" s="89">
        <f>IF('CPI(Inflation)'!$E$30='CPI(Inflation)'!$B$33,'CPI(Inflation)'!$B34,IF('CPI(Inflation)'!$E$30='CPI(Inflation)'!$C$33,'CPI(Inflation)'!$C34,IF('CPI(Inflation)'!$E$30='CPI(Inflation)'!$D$33,'CPI(Inflation)'!$D34,IF('CPI(Inflation)'!$E$30='CPI(Inflation)'!$E$33,'CPI(Inflation)'!$E34,1))))</f>
        <v>4</v>
      </c>
      <c r="P111" s="89">
        <f>'Baltic Dry Index'!B34</f>
        <v>4</v>
      </c>
      <c r="Q111" s="89">
        <f>IF(VIX!$F$16=VIX!$B$33,VIX!B34,IF(VIX!$F$16=VIX!$C$33,VIX!C34,IF(VIX!$F$16=VIX!$D$33,VIX!D34,IF(VIX!$F$16=VIX!$E$33,VIX!E34,1))))</f>
        <v>1</v>
      </c>
      <c r="R111" s="89">
        <f>IF(Currency!$F$16=Currency!$B$33,Currency!B34,IF(Currency!$F$16=Currency!$C$33,Currency!C34,IF(Currency!$F$16=Currency!$D$33,Currency!D34,IF(Currency!$F$16=Currency!$E$33,Currency!E34,1))))</f>
        <v>4</v>
      </c>
      <c r="S111" s="89">
        <f>IF(Unemployment!$F$16=Unemployment!$B$33,Unemployment!B34,IF(Unemployment!$F$16=Unemployment!$C$33,Unemployment!C34,IF(Unemployment!$F$16=Unemployment!$D$33,Unemployment!D34,IF(Unemployment!$F$16=Unemployment!$E$33,Unemployment!E34,1))))</f>
        <v>4</v>
      </c>
      <c r="T111" s="90">
        <f>AVERAGE(L111*0.2222 + M111*0.3056 + N111*0.1667 + O111*0.1389 + R111*0.0556 + S111*0.1111)</f>
        <v>3.3614000000000002</v>
      </c>
    </row>
    <row r="112" spans="2:27" x14ac:dyDescent="0.3">
      <c r="B112" s="53" t="s">
        <v>10</v>
      </c>
      <c r="C112" s="87">
        <f>IF(PMI!$F$11=PMI!$B$43,PMI!$B45,IF(PMI!$F$11=PMI!$C$43,PMI!$C45,IF(PMI!$F$11=PMI!$D$43,PMI!$D45,IF(PMI!$F$11=PMI!$E$43,PMI!$E45,1))))</f>
        <v>2</v>
      </c>
      <c r="D112" s="44">
        <f>BNP!I93</f>
        <v>4</v>
      </c>
      <c r="E112" s="44">
        <f>IF('10 yr rate'!$E$10='10 yr rate'!$B$35,'10 yr rate'!$B37,IF('10 yr rate'!$E$10='10 yr rate'!$C$35,'10 yr rate'!$C37,IF('10 yr rate'!$E$10='10 yr rate'!$D$35,'10 yr rate'!$D37,IF('10 yr rate'!$E$10='10 yr rate'!$E$35,'10 yr rate'!$E37,1))))</f>
        <v>3</v>
      </c>
      <c r="F112" s="44">
        <f>IF('CPI(Inflation)'!$E$29='CPI(Inflation)'!$B$33,'CPI(Inflation)'!$B35,IF('CPI(Inflation)'!$E$29='CPI(Inflation)'!$C$33,'CPI(Inflation)'!$C35,IF('CPI(Inflation)'!$E$29='CPI(Inflation)'!$D$33,'CPI(Inflation)'!$D35,IF('CPI(Inflation)'!$E$29='CPI(Inflation)'!$E$33,'CPI(Inflation)'!$E35,1))))</f>
        <v>2</v>
      </c>
      <c r="G112" s="44">
        <f>'Baltic Dry Index'!B35</f>
        <v>5</v>
      </c>
      <c r="H112" s="44">
        <f>IF(VIX!$F$15=VIX!$B$33,VIX!B35,IF(VIX!$F$15=VIX!$C$33,VIX!C35,IF(VIX!$F$15=VIX!$D$33,VIX!D35,IF(VIX!$F$15=VIX!$E$33,VIX!E35,1))))</f>
        <v>5</v>
      </c>
      <c r="I112" s="44">
        <f>IF(Currency!$F$15=Currency!$B$33,Currency!B35,IF(Currency!$F$15=Currency!$C$33,Currency!C35,IF(Currency!$F$15=Currency!$D$33,Currency!D35,IF(Currency!$F$15=Currency!$E$33,Currency!E35,1))))</f>
        <v>3</v>
      </c>
      <c r="J112" s="44">
        <f>IF(Unemployment!$F$15=Unemployment!$B$33,Unemployment!B35,IF(Unemployment!$F$15=Unemployment!$C$33,Unemployment!C35,IF(Unemployment!$F$15=Unemployment!$D$33,Unemployment!D35,IF(Unemployment!$F$15=Unemployment!$E$33,Unemployment!E35,1))))</f>
        <v>5</v>
      </c>
      <c r="K112" s="90">
        <f>AVERAGE(C112*0.2222 + D112*0.3056 + E112*0.1667 + F112*0.1389 + I112*0.0556 + J112*0.1111)</f>
        <v>3.1669999999999998</v>
      </c>
      <c r="L112" s="87">
        <f>IF(PMI!$F$12=PMI!$B$43,PMI!$B45,IF(PMI!$F$12=PMI!$C$43,PMI!$C45,IF(PMI!$F$12=PMI!$D$44,PMI!$D45,IF(PMI!$F$12=PMI!$E$43,PMI!$E45,1))))</f>
        <v>2</v>
      </c>
      <c r="M112" s="44">
        <f>BNP!J93</f>
        <v>2</v>
      </c>
      <c r="N112" s="44">
        <f>IF('10 yr rate'!$E$11='10 yr rate'!$B$35,'10 yr rate'!$B37,IF('10 yr rate'!$E$11='10 yr rate'!$C$35,'10 yr rate'!$C37,IF('10 yr rate'!$E$11='10 yr rate'!$D$35,'10 yr rate'!$D37,IF('10 yr rate'!$E$11='10 yr rate'!$E$35,'10 yr rate'!$E37,1))))</f>
        <v>3</v>
      </c>
      <c r="O112" s="44">
        <f>IF('CPI(Inflation)'!$E$30='CPI(Inflation)'!$B$33,'CPI(Inflation)'!$B35,IF('CPI(Inflation)'!$E$30='CPI(Inflation)'!$C$33,'CPI(Inflation)'!$C35,IF('CPI(Inflation)'!$E$30='CPI(Inflation)'!$D$33,'CPI(Inflation)'!$D35,IF('CPI(Inflation)'!$E$30='CPI(Inflation)'!$E$33,'CPI(Inflation)'!$E35,1))))</f>
        <v>2</v>
      </c>
      <c r="P112" s="44">
        <f>'Baltic Dry Index'!B35</f>
        <v>5</v>
      </c>
      <c r="Q112" s="44">
        <f>IF(VIX!$F$16=VIX!$B$33,VIX!B35,IF(VIX!$F$16=VIX!$C$33,VIX!C35,IF(VIX!$F$16=VIX!$D$33,VIX!D35,IF(VIX!$F$16=VIX!$E$33,VIX!E35,1))))</f>
        <v>1</v>
      </c>
      <c r="R112" s="44">
        <f>IF(Currency!$F$16=Currency!$B$33,Currency!B35,IF(Currency!$F$16=Currency!$C$33,Currency!C35,IF(Currency!$F$16=Currency!$D$33,Currency!D35,IF(Currency!$F$16=Currency!$E$33,Currency!E35,1))))</f>
        <v>2</v>
      </c>
      <c r="S112" s="44">
        <f>IF(Unemployment!$F$16=Unemployment!$B$33,Unemployment!B35,IF(Unemployment!$F$16=Unemployment!$C$33,Unemployment!C35,IF(Unemployment!$F$16=Unemployment!$D$33,Unemployment!D35,IF(Unemployment!$F$16=Unemployment!$E$33,Unemployment!E35,1))))</f>
        <v>5</v>
      </c>
      <c r="T112" s="90">
        <f t="shared" ref="T112:T121" si="4">AVERAGE(L112*0.2222 + M112*0.3056 + N112*0.1667 + O112*0.1389 + R112*0.0556 + S112*0.1111)</f>
        <v>2.5002</v>
      </c>
    </row>
    <row r="113" spans="2:20" x14ac:dyDescent="0.3">
      <c r="B113" s="53" t="s">
        <v>11</v>
      </c>
      <c r="C113" s="87">
        <f>IF(PMI!$F$11=PMI!$B$43,PMI!$B46,IF(PMI!$F$11=PMI!$C$43,PMI!$C46,IF(PMI!$F$11=PMI!$D$43,PMI!$D46,IF(PMI!$F$11=PMI!$E$43,PMI!$E46,1))))</f>
        <v>4</v>
      </c>
      <c r="D113" s="44">
        <f>BNP!I98</f>
        <v>1</v>
      </c>
      <c r="E113" s="44">
        <f>IF('10 yr rate'!$E$10='10 yr rate'!$B$35,'10 yr rate'!$B38,IF('10 yr rate'!$E$10='10 yr rate'!$C$35,'10 yr rate'!$C38,IF('10 yr rate'!$E$10='10 yr rate'!$D$35,'10 yr rate'!$D38,IF('10 yr rate'!$E$10='10 yr rate'!$E$35,'10 yr rate'!$E38,1))))</f>
        <v>2</v>
      </c>
      <c r="F113" s="44">
        <f>IF('CPI(Inflation)'!$E$29='CPI(Inflation)'!$B$33,'CPI(Inflation)'!$B36,IF('CPI(Inflation)'!$E$29='CPI(Inflation)'!$C$33,'CPI(Inflation)'!$C36,IF('CPI(Inflation)'!$E$29='CPI(Inflation)'!$D$33,'CPI(Inflation)'!$D36,IF('CPI(Inflation)'!$E$29='CPI(Inflation)'!$E$33,'CPI(Inflation)'!$E36,1))))</f>
        <v>4</v>
      </c>
      <c r="G113" s="44">
        <f>'Baltic Dry Index'!B36</f>
        <v>5</v>
      </c>
      <c r="H113" s="44">
        <f>IF(VIX!$F$15=VIX!$B$33,VIX!B36,IF(VIX!$F$15=VIX!$C$33,VIX!C36,IF(VIX!$F$15=VIX!$D$33,VIX!D36,IF(VIX!$F$15=VIX!$E$33,VIX!E36,1))))</f>
        <v>5</v>
      </c>
      <c r="I113" s="44">
        <f>IF(Currency!$F$15=Currency!$B$33,Currency!B36,IF(Currency!$F$15=Currency!$C$33,Currency!C36,IF(Currency!$F$15=Currency!$D$33,Currency!D36,IF(Currency!$F$15=Currency!$E$33,Currency!E36,1))))</f>
        <v>2</v>
      </c>
      <c r="J113" s="44">
        <f>IF(Unemployment!$F$15=Unemployment!$B$33,Unemployment!B36,IF(Unemployment!$F$15=Unemployment!$C$33,Unemployment!C36,IF(Unemployment!$F$15=Unemployment!$D$33,Unemployment!D36,IF(Unemployment!$F$15=Unemployment!$E$33,Unemployment!E36,1))))</f>
        <v>5</v>
      </c>
      <c r="K113" s="90">
        <f t="shared" ref="K113:K121" si="5">AVERAGE(C113*0.2222 + D113*0.3056 + E113*0.1667 + F113*0.1389 + I113*0.0556 + J113*0.1111)</f>
        <v>2.7500999999999998</v>
      </c>
      <c r="L113" s="87">
        <f>IF(PMI!$F$12=PMI!$B$43,PMI!$B46,IF(PMI!$F$12=PMI!$C$43,PMI!$C46,IF(PMI!$F$12=PMI!$D$44,PMI!$D46,IF(PMI!$F$12=PMI!$E$43,PMI!$E46,1))))</f>
        <v>4</v>
      </c>
      <c r="M113" s="44">
        <f>BNP!J98</f>
        <v>3</v>
      </c>
      <c r="N113" s="44">
        <f>IF('10 yr rate'!$E$11='10 yr rate'!$B$35,'10 yr rate'!$B38,IF('10 yr rate'!$E$11='10 yr rate'!$C$35,'10 yr rate'!$C38,IF('10 yr rate'!$E$11='10 yr rate'!$D$35,'10 yr rate'!$D38,IF('10 yr rate'!$E$11='10 yr rate'!$E$35,'10 yr rate'!$E38,1))))</f>
        <v>2</v>
      </c>
      <c r="O113" s="44">
        <f>IF('CPI(Inflation)'!$E$30='CPI(Inflation)'!$B$33,'CPI(Inflation)'!$B36,IF('CPI(Inflation)'!$E$30='CPI(Inflation)'!$C$33,'CPI(Inflation)'!$C36,IF('CPI(Inflation)'!$E$30='CPI(Inflation)'!$D$33,'CPI(Inflation)'!$D36,IF('CPI(Inflation)'!$E$30='CPI(Inflation)'!$E$33,'CPI(Inflation)'!$E36,1))))</f>
        <v>4</v>
      </c>
      <c r="P113" s="44">
        <f>'Baltic Dry Index'!B36</f>
        <v>5</v>
      </c>
      <c r="Q113" s="44">
        <f>IF(VIX!$F$16=VIX!$B$33,VIX!B36,IF(VIX!$F$16=VIX!$C$33,VIX!C36,IF(VIX!$F$16=VIX!$D$33,VIX!D36,IF(VIX!$F$16=VIX!$E$33,VIX!E36,1))))</f>
        <v>1</v>
      </c>
      <c r="R113" s="44">
        <f>IF(Currency!$F$16=Currency!$B$33,Currency!B36,IF(Currency!$F$16=Currency!$C$33,Currency!C36,IF(Currency!$F$16=Currency!$D$33,Currency!D36,IF(Currency!$F$16=Currency!$E$33,Currency!E36,1))))</f>
        <v>4</v>
      </c>
      <c r="S113" s="44">
        <f>IF(Unemployment!$F$16=Unemployment!$B$33,Unemployment!B36,IF(Unemployment!$F$16=Unemployment!$C$33,Unemployment!C36,IF(Unemployment!$F$16=Unemployment!$D$33,Unemployment!D36,IF(Unemployment!$F$16=Unemployment!$E$33,Unemployment!E36,1))))</f>
        <v>5</v>
      </c>
      <c r="T113" s="90">
        <f t="shared" si="4"/>
        <v>3.4725000000000001</v>
      </c>
    </row>
    <row r="114" spans="2:20" x14ac:dyDescent="0.3">
      <c r="B114" s="53" t="s">
        <v>12</v>
      </c>
      <c r="C114" s="87">
        <f>IF(PMI!$F$11=PMI!$B$43,PMI!$B47,IF(PMI!$F$11=PMI!$C$43,PMI!$C47,IF(PMI!$F$11=PMI!$D$43,PMI!$D47,IF(PMI!$F$11=PMI!$E$43,PMI!$E47,1))))</f>
        <v>5</v>
      </c>
      <c r="D114" s="44">
        <f>BNP!I103</f>
        <v>2</v>
      </c>
      <c r="E114" s="44">
        <f>IF('10 yr rate'!$E$10='10 yr rate'!$B$35,'10 yr rate'!$B39,IF('10 yr rate'!$E$10='10 yr rate'!$C$35,'10 yr rate'!$C39,IF('10 yr rate'!$E$10='10 yr rate'!$D$35,'10 yr rate'!$D39,IF('10 yr rate'!$E$10='10 yr rate'!$E$35,'10 yr rate'!$E39,1))))</f>
        <v>3</v>
      </c>
      <c r="F114" s="44">
        <f>IF('CPI(Inflation)'!$E$29='CPI(Inflation)'!$B$33,'CPI(Inflation)'!$B37,IF('CPI(Inflation)'!$E$29='CPI(Inflation)'!$C$33,'CPI(Inflation)'!$C37,IF('CPI(Inflation)'!$E$29='CPI(Inflation)'!$D$33,'CPI(Inflation)'!$D37,IF('CPI(Inflation)'!$E$29='CPI(Inflation)'!$E$33,'CPI(Inflation)'!$E37,1))))</f>
        <v>5</v>
      </c>
      <c r="G114" s="44">
        <f>'Baltic Dry Index'!B37</f>
        <v>4</v>
      </c>
      <c r="H114" s="44">
        <f>IF(VIX!$F$15=VIX!$B$33,VIX!B37,IF(VIX!$F$15=VIX!$C$33,VIX!C37,IF(VIX!$F$15=VIX!$D$33,VIX!D37,IF(VIX!$F$15=VIX!$E$33,VIX!E37,1))))</f>
        <v>4</v>
      </c>
      <c r="I114" s="44">
        <f>IF(Currency!$F$15=Currency!$B$33,Currency!B37,IF(Currency!$F$15=Currency!$C$33,Currency!C37,IF(Currency!$F$15=Currency!$D$33,Currency!D37,IF(Currency!$F$15=Currency!$E$33,Currency!E37,1))))</f>
        <v>3</v>
      </c>
      <c r="J114" s="44">
        <f>IF(Unemployment!$F$15=Unemployment!$B$33,Unemployment!B37,IF(Unemployment!$F$15=Unemployment!$C$33,Unemployment!C37,IF(Unemployment!$F$15=Unemployment!$D$33,Unemployment!D37,IF(Unemployment!$F$15=Unemployment!$E$33,Unemployment!E37,1))))</f>
        <v>4</v>
      </c>
      <c r="K114" s="90">
        <f t="shared" si="5"/>
        <v>3.5279999999999996</v>
      </c>
      <c r="L114" s="87">
        <f>IF(PMI!$F$12=PMI!$B$43,PMI!$B47,IF(PMI!$F$12=PMI!$C$43,PMI!$C47,IF(PMI!$F$12=PMI!$D$44,PMI!$D47,IF(PMI!$F$12=PMI!$E$43,PMI!$E47,1))))</f>
        <v>5</v>
      </c>
      <c r="M114" s="44">
        <f>BNP!J103</f>
        <v>4</v>
      </c>
      <c r="N114" s="44">
        <f>IF('10 yr rate'!$E$11='10 yr rate'!$B$35,'10 yr rate'!$B39,IF('10 yr rate'!$E$11='10 yr rate'!$C$35,'10 yr rate'!$C39,IF('10 yr rate'!$E$11='10 yr rate'!$D$35,'10 yr rate'!$D39,IF('10 yr rate'!$E$11='10 yr rate'!$E$35,'10 yr rate'!$E39,1))))</f>
        <v>3</v>
      </c>
      <c r="O114" s="44">
        <f>IF('CPI(Inflation)'!$E$30='CPI(Inflation)'!$B$33,'CPI(Inflation)'!$B37,IF('CPI(Inflation)'!$E$30='CPI(Inflation)'!$C$33,'CPI(Inflation)'!$C37,IF('CPI(Inflation)'!$E$30='CPI(Inflation)'!$D$33,'CPI(Inflation)'!$D37,IF('CPI(Inflation)'!$E$30='CPI(Inflation)'!$E$33,'CPI(Inflation)'!$E37,1))))</f>
        <v>5</v>
      </c>
      <c r="P114" s="44">
        <f>'Baltic Dry Index'!B37</f>
        <v>4</v>
      </c>
      <c r="Q114" s="44">
        <f>IF(VIX!$F$16=VIX!$B$33,VIX!B37,IF(VIX!$F$16=VIX!$C$33,VIX!C37,IF(VIX!$F$16=VIX!$D$33,VIX!D37,IF(VIX!$F$16=VIX!$E$33,VIX!E37,1))))</f>
        <v>1</v>
      </c>
      <c r="R114" s="44">
        <f>IF(Currency!$F$16=Currency!$B$33,Currency!B37,IF(Currency!$F$16=Currency!$C$33,Currency!C37,IF(Currency!$F$16=Currency!$D$33,Currency!D37,IF(Currency!$F$16=Currency!$E$33,Currency!E37,1))))</f>
        <v>5</v>
      </c>
      <c r="S114" s="44">
        <f>IF(Unemployment!$F$16=Unemployment!$B$33,Unemployment!B37,IF(Unemployment!$F$16=Unemployment!$C$33,Unemployment!C37,IF(Unemployment!$F$16=Unemployment!$D$33,Unemployment!D37,IF(Unemployment!$F$16=Unemployment!$E$33,Unemployment!E37,1))))</f>
        <v>4</v>
      </c>
      <c r="T114" s="90">
        <f t="shared" si="4"/>
        <v>4.2504</v>
      </c>
    </row>
    <row r="115" spans="2:20" x14ac:dyDescent="0.3">
      <c r="B115" s="53" t="s">
        <v>13</v>
      </c>
      <c r="C115" s="87">
        <f>IF(PMI!$F$11=PMI!$B$43,PMI!$B48,IF(PMI!$F$11=PMI!$C$43,PMI!$C48,IF(PMI!$F$11=PMI!$D$43,PMI!$D48,IF(PMI!$F$11=PMI!$E$43,PMI!$E48,1))))</f>
        <v>4</v>
      </c>
      <c r="D115" s="44">
        <f>BNP!I108</f>
        <v>3</v>
      </c>
      <c r="E115" s="44">
        <f>IF('10 yr rate'!$E$10='10 yr rate'!$B$35,'10 yr rate'!$B40,IF('10 yr rate'!$E$10='10 yr rate'!$C$35,'10 yr rate'!$C40,IF('10 yr rate'!$E$10='10 yr rate'!$D$35,'10 yr rate'!$D40,IF('10 yr rate'!$E$10='10 yr rate'!$E$35,'10 yr rate'!$E40,1))))</f>
        <v>2</v>
      </c>
      <c r="F115" s="44">
        <f>IF('CPI(Inflation)'!$E$29='CPI(Inflation)'!$B$33,'CPI(Inflation)'!$B38,IF('CPI(Inflation)'!$E$29='CPI(Inflation)'!$C$33,'CPI(Inflation)'!$C38,IF('CPI(Inflation)'!$E$29='CPI(Inflation)'!$D$33,'CPI(Inflation)'!$D38,IF('CPI(Inflation)'!$E$29='CPI(Inflation)'!$E$33,'CPI(Inflation)'!$E38,1))))</f>
        <v>4</v>
      </c>
      <c r="G115" s="44">
        <f>'Baltic Dry Index'!B38</f>
        <v>5</v>
      </c>
      <c r="H115" s="44">
        <f>IF(VIX!$F$15=VIX!$B$33,VIX!B38,IF(VIX!$F$15=VIX!$C$33,VIX!C38,IF(VIX!$F$15=VIX!$D$33,VIX!D38,IF(VIX!$F$15=VIX!$E$33,VIX!E38,1))))</f>
        <v>5</v>
      </c>
      <c r="I115" s="44">
        <f>IF(Currency!$F$15=Currency!$B$33,Currency!B38,IF(Currency!$F$15=Currency!$C$33,Currency!C38,IF(Currency!$F$15=Currency!$D$33,Currency!D38,IF(Currency!$F$15=Currency!$E$33,Currency!E38,1))))</f>
        <v>2</v>
      </c>
      <c r="J115" s="44">
        <f>IF(Unemployment!$F$15=Unemployment!$B$33,Unemployment!B38,IF(Unemployment!$F$15=Unemployment!$C$33,Unemployment!C38,IF(Unemployment!$F$15=Unemployment!$D$33,Unemployment!D38,IF(Unemployment!$F$15=Unemployment!$E$33,Unemployment!E38,1))))</f>
        <v>5</v>
      </c>
      <c r="K115" s="90">
        <f t="shared" si="5"/>
        <v>3.3613000000000004</v>
      </c>
      <c r="L115" s="87">
        <f>IF(PMI!$F$12=PMI!$B$43,PMI!$B48,IF(PMI!$F$12=PMI!$C$43,PMI!$C48,IF(PMI!$F$12=PMI!$D$44,PMI!$D48,IF(PMI!$F$12=PMI!$E$43,PMI!$E48,1))))</f>
        <v>4</v>
      </c>
      <c r="M115" s="44">
        <f>BNP!J108</f>
        <v>3</v>
      </c>
      <c r="N115" s="44">
        <f>IF('10 yr rate'!$E$11='10 yr rate'!$B$35,'10 yr rate'!$B40,IF('10 yr rate'!$E$11='10 yr rate'!$C$35,'10 yr rate'!$C40,IF('10 yr rate'!$E$11='10 yr rate'!$D$35,'10 yr rate'!$D40,IF('10 yr rate'!$E$11='10 yr rate'!$E$35,'10 yr rate'!$E40,1))))</f>
        <v>2</v>
      </c>
      <c r="O115" s="44">
        <f>IF('CPI(Inflation)'!$E$30='CPI(Inflation)'!$B$33,'CPI(Inflation)'!$B38,IF('CPI(Inflation)'!$E$30='CPI(Inflation)'!$C$33,'CPI(Inflation)'!$C38,IF('CPI(Inflation)'!$E$30='CPI(Inflation)'!$D$33,'CPI(Inflation)'!$D38,IF('CPI(Inflation)'!$E$30='CPI(Inflation)'!$E$33,'CPI(Inflation)'!$E38,1))))</f>
        <v>4</v>
      </c>
      <c r="P115" s="44">
        <f>'Baltic Dry Index'!B38</f>
        <v>5</v>
      </c>
      <c r="Q115" s="44">
        <f>IF(VIX!$F$16=VIX!$B$33,VIX!B38,IF(VIX!$F$16=VIX!$C$33,VIX!C38,IF(VIX!$F$16=VIX!$D$33,VIX!D38,IF(VIX!$F$16=VIX!$E$33,VIX!E38,1))))</f>
        <v>1</v>
      </c>
      <c r="R115" s="44">
        <f>IF(Currency!$F$16=Currency!$B$33,Currency!B38,IF(Currency!$F$16=Currency!$C$33,Currency!C38,IF(Currency!$F$16=Currency!$D$33,Currency!D38,IF(Currency!$F$16=Currency!$E$33,Currency!E38,1))))</f>
        <v>4</v>
      </c>
      <c r="S115" s="44">
        <f>IF(Unemployment!$F$16=Unemployment!$B$33,Unemployment!B38,IF(Unemployment!$F$16=Unemployment!$C$33,Unemployment!C38,IF(Unemployment!$F$16=Unemployment!$D$33,Unemployment!D38,IF(Unemployment!$F$16=Unemployment!$E$33,Unemployment!E38,1))))</f>
        <v>5</v>
      </c>
      <c r="T115" s="90">
        <f t="shared" si="4"/>
        <v>3.4725000000000001</v>
      </c>
    </row>
    <row r="116" spans="2:20" x14ac:dyDescent="0.3">
      <c r="B116" s="53" t="s">
        <v>14</v>
      </c>
      <c r="C116" s="87">
        <f>IF(PMI!$F$11=PMI!$B$43,PMI!$B49,IF(PMI!$F$11=PMI!$C$43,PMI!$C49,IF(PMI!$F$11=PMI!$D$43,PMI!$D49,IF(PMI!$F$11=PMI!$E$43,PMI!$E49,1))))</f>
        <v>2</v>
      </c>
      <c r="D116" s="44">
        <f>BNP!I113</f>
        <v>3</v>
      </c>
      <c r="E116" s="44">
        <f>IF('10 yr rate'!$E$10='10 yr rate'!$B$35,'10 yr rate'!$B41,IF('10 yr rate'!$E$10='10 yr rate'!$C$35,'10 yr rate'!$C41,IF('10 yr rate'!$E$10='10 yr rate'!$D$35,'10 yr rate'!$D41,IF('10 yr rate'!$E$10='10 yr rate'!$E$35,'10 yr rate'!$E41,1))))</f>
        <v>3</v>
      </c>
      <c r="F116" s="44">
        <f>IF('CPI(Inflation)'!$E$29='CPI(Inflation)'!$B$33,'CPI(Inflation)'!$B39,IF('CPI(Inflation)'!$E$29='CPI(Inflation)'!$C$33,'CPI(Inflation)'!$C39,IF('CPI(Inflation)'!$E$29='CPI(Inflation)'!$D$33,'CPI(Inflation)'!$D39,IF('CPI(Inflation)'!$E$29='CPI(Inflation)'!$E$33,'CPI(Inflation)'!$E39,1))))</f>
        <v>2</v>
      </c>
      <c r="G116" s="44">
        <f>'Baltic Dry Index'!B39</f>
        <v>4</v>
      </c>
      <c r="H116" s="44">
        <f>IF(VIX!$F$15=VIX!$B$33,VIX!B39,IF(VIX!$F$15=VIX!$C$33,VIX!C39,IF(VIX!$F$15=VIX!$D$33,VIX!D39,IF(VIX!$F$15=VIX!$E$33,VIX!E39,1))))</f>
        <v>4</v>
      </c>
      <c r="I116" s="44">
        <f>IF(Currency!$F$15=Currency!$B$33,Currency!B39,IF(Currency!$F$15=Currency!$C$33,Currency!C39,IF(Currency!$F$15=Currency!$D$33,Currency!D39,IF(Currency!$F$15=Currency!$E$33,Currency!E39,1))))</f>
        <v>3</v>
      </c>
      <c r="J116" s="44">
        <f>IF(Unemployment!$F$15=Unemployment!$B$33,Unemployment!B39,IF(Unemployment!$F$15=Unemployment!$C$33,Unemployment!C39,IF(Unemployment!$F$15=Unemployment!$D$33,Unemployment!D39,IF(Unemployment!$F$15=Unemployment!$E$33,Unemployment!E39,1))))</f>
        <v>4</v>
      </c>
      <c r="K116" s="90">
        <f t="shared" si="5"/>
        <v>2.7502999999999997</v>
      </c>
      <c r="L116" s="87">
        <f>IF(PMI!$F$12=PMI!$B$43,PMI!$B49,IF(PMI!$F$12=PMI!$C$43,PMI!$C49,IF(PMI!$F$12=PMI!$D$44,PMI!$D49,IF(PMI!$F$12=PMI!$E$43,PMI!$E49,1))))</f>
        <v>2</v>
      </c>
      <c r="M116" s="44">
        <f>BNP!J113</f>
        <v>1</v>
      </c>
      <c r="N116" s="44">
        <f>IF('10 yr rate'!$E$11='10 yr rate'!$B$35,'10 yr rate'!$B41,IF('10 yr rate'!$E$11='10 yr rate'!$C$35,'10 yr rate'!$C41,IF('10 yr rate'!$E$11='10 yr rate'!$D$35,'10 yr rate'!$D41,IF('10 yr rate'!$E$11='10 yr rate'!$E$35,'10 yr rate'!$E41,1))))</f>
        <v>3</v>
      </c>
      <c r="O116" s="44">
        <f>IF('CPI(Inflation)'!$E$30='CPI(Inflation)'!$B$33,'CPI(Inflation)'!$B39,IF('CPI(Inflation)'!$E$30='CPI(Inflation)'!$C$33,'CPI(Inflation)'!$C39,IF('CPI(Inflation)'!$E$30='CPI(Inflation)'!$D$33,'CPI(Inflation)'!$D39,IF('CPI(Inflation)'!$E$30='CPI(Inflation)'!$E$33,'CPI(Inflation)'!$E39,1))))</f>
        <v>2</v>
      </c>
      <c r="P116" s="44">
        <f>'Baltic Dry Index'!B39</f>
        <v>4</v>
      </c>
      <c r="Q116" s="44">
        <f>IF(VIX!$F$16=VIX!$B$33,VIX!B39,IF(VIX!$F$16=VIX!$C$33,VIX!C39,IF(VIX!$F$16=VIX!$D$33,VIX!D39,IF(VIX!$F$16=VIX!$E$33,VIX!E39,1))))</f>
        <v>2</v>
      </c>
      <c r="R116" s="44">
        <f>IF(Currency!$F$16=Currency!$B$33,Currency!B39,IF(Currency!$F$16=Currency!$C$33,Currency!C39,IF(Currency!$F$16=Currency!$D$33,Currency!D39,IF(Currency!$F$16=Currency!$E$33,Currency!E39,1))))</f>
        <v>2</v>
      </c>
      <c r="S116" s="44">
        <f>IF(Unemployment!$F$16=Unemployment!$B$33,Unemployment!B39,IF(Unemployment!$F$16=Unemployment!$C$33,Unemployment!C39,IF(Unemployment!$F$16=Unemployment!$D$33,Unemployment!D39,IF(Unemployment!$F$16=Unemployment!$E$33,Unemployment!E39,1))))</f>
        <v>4</v>
      </c>
      <c r="T116" s="90">
        <f t="shared" si="4"/>
        <v>2.0834999999999999</v>
      </c>
    </row>
    <row r="117" spans="2:20" x14ac:dyDescent="0.3">
      <c r="B117" s="53" t="s">
        <v>15</v>
      </c>
      <c r="C117" s="87">
        <f>IF(PMI!$F$11=PMI!$B$43,PMI!$B50,IF(PMI!$F$11=PMI!$C$43,PMI!$C50,IF(PMI!$F$11=PMI!$D$43,PMI!$D50,IF(PMI!$F$11=PMI!$E$43,PMI!$E50,1))))</f>
        <v>2</v>
      </c>
      <c r="D117" s="44">
        <f>BNP!I118</f>
        <v>4</v>
      </c>
      <c r="E117" s="44">
        <f>IF('10 yr rate'!$E$10='10 yr rate'!$B$35,'10 yr rate'!$B42,IF('10 yr rate'!$E$10='10 yr rate'!$C$35,'10 yr rate'!$C42,IF('10 yr rate'!$E$10='10 yr rate'!$D$35,'10 yr rate'!$D42,IF('10 yr rate'!$E$10='10 yr rate'!$E$35,'10 yr rate'!$E42,1))))</f>
        <v>4</v>
      </c>
      <c r="F117" s="44">
        <f>IF('CPI(Inflation)'!$E$29='CPI(Inflation)'!$B$33,'CPI(Inflation)'!$B40,IF('CPI(Inflation)'!$E$29='CPI(Inflation)'!$C$33,'CPI(Inflation)'!$C40,IF('CPI(Inflation)'!$E$29='CPI(Inflation)'!$D$33,'CPI(Inflation)'!$D40,IF('CPI(Inflation)'!$E$29='CPI(Inflation)'!$E$33,'CPI(Inflation)'!$E40,1))))</f>
        <v>2</v>
      </c>
      <c r="G117" s="44">
        <f>'Baltic Dry Index'!B40</f>
        <v>2</v>
      </c>
      <c r="H117" s="44">
        <f>IF(VIX!$F$15=VIX!$B$33,VIX!B40,IF(VIX!$F$15=VIX!$C$33,VIX!C40,IF(VIX!$F$15=VIX!$D$33,VIX!D40,IF(VIX!$F$15=VIX!$E$33,VIX!E40,1))))</f>
        <v>2</v>
      </c>
      <c r="I117" s="44">
        <f>IF(Currency!$F$15=Currency!$B$33,Currency!B40,IF(Currency!$F$15=Currency!$C$33,Currency!C40,IF(Currency!$F$15=Currency!$D$33,Currency!D40,IF(Currency!$F$15=Currency!$E$33,Currency!E40,1))))</f>
        <v>4</v>
      </c>
      <c r="J117" s="44">
        <f>IF(Unemployment!$F$15=Unemployment!$B$33,Unemployment!B40,IF(Unemployment!$F$15=Unemployment!$C$33,Unemployment!C40,IF(Unemployment!$F$15=Unemployment!$D$33,Unemployment!D40,IF(Unemployment!$F$15=Unemployment!$E$33,Unemployment!E40,1))))</f>
        <v>2</v>
      </c>
      <c r="K117" s="90">
        <f t="shared" si="5"/>
        <v>3.0559999999999996</v>
      </c>
      <c r="L117" s="87">
        <f>IF(PMI!$F$12=PMI!$B$43,PMI!$B50,IF(PMI!$F$12=PMI!$C$43,PMI!$C50,IF(PMI!$F$12=PMI!$D$44,PMI!$D50,IF(PMI!$F$12=PMI!$E$43,PMI!$E50,1))))</f>
        <v>2</v>
      </c>
      <c r="M117" s="44">
        <f>BNP!J118</f>
        <v>2</v>
      </c>
      <c r="N117" s="44">
        <f>IF('10 yr rate'!$E$11='10 yr rate'!$B$35,'10 yr rate'!$B42,IF('10 yr rate'!$E$11='10 yr rate'!$C$35,'10 yr rate'!$C42,IF('10 yr rate'!$E$11='10 yr rate'!$D$35,'10 yr rate'!$D42,IF('10 yr rate'!$E$11='10 yr rate'!$E$35,'10 yr rate'!$E42,1))))</f>
        <v>4</v>
      </c>
      <c r="O117" s="44">
        <f>IF('CPI(Inflation)'!$E$30='CPI(Inflation)'!$B$33,'CPI(Inflation)'!$B40,IF('CPI(Inflation)'!$E$30='CPI(Inflation)'!$C$33,'CPI(Inflation)'!$C40,IF('CPI(Inflation)'!$E$30='CPI(Inflation)'!$D$33,'CPI(Inflation)'!$D40,IF('CPI(Inflation)'!$E$30='CPI(Inflation)'!$E$33,'CPI(Inflation)'!$E40,1))))</f>
        <v>2</v>
      </c>
      <c r="P117" s="44">
        <f>'Baltic Dry Index'!B40</f>
        <v>2</v>
      </c>
      <c r="Q117" s="44">
        <f>IF(VIX!$F$16=VIX!$B$33,VIX!B40,IF(VIX!$F$16=VIX!$C$33,VIX!C40,IF(VIX!$F$16=VIX!$D$33,VIX!D40,IF(VIX!$F$16=VIX!$E$33,VIX!E40,1))))</f>
        <v>5</v>
      </c>
      <c r="R117" s="44">
        <f>IF(Currency!$F$16=Currency!$B$33,Currency!B40,IF(Currency!$F$16=Currency!$C$33,Currency!C40,IF(Currency!$F$16=Currency!$D$33,Currency!D40,IF(Currency!$F$16=Currency!$E$33,Currency!E40,1))))</f>
        <v>2</v>
      </c>
      <c r="S117" s="44">
        <f>IF(Unemployment!$F$16=Unemployment!$B$33,Unemployment!B40,IF(Unemployment!$F$16=Unemployment!$C$33,Unemployment!C40,IF(Unemployment!$F$16=Unemployment!$D$33,Unemployment!D40,IF(Unemployment!$F$16=Unemployment!$E$33,Unemployment!E40,1))))</f>
        <v>2</v>
      </c>
      <c r="T117" s="90">
        <f t="shared" si="4"/>
        <v>2.3336000000000001</v>
      </c>
    </row>
    <row r="118" spans="2:20" x14ac:dyDescent="0.3">
      <c r="B118" s="53" t="s">
        <v>16</v>
      </c>
      <c r="C118" s="87">
        <f>IF(PMI!$F$11=PMI!$B$43,PMI!$B51,IF(PMI!$F$11=PMI!$C$43,PMI!$C51,IF(PMI!$F$11=PMI!$D$43,PMI!$D51,IF(PMI!$F$11=PMI!$E$43,PMI!$E51,1))))</f>
        <v>3</v>
      </c>
      <c r="D118" s="44">
        <f>BNP!I123</f>
        <v>3</v>
      </c>
      <c r="E118" s="44">
        <f>IF('10 yr rate'!$E$10='10 yr rate'!$B$35,'10 yr rate'!$B43,IF('10 yr rate'!$E$10='10 yr rate'!$C$35,'10 yr rate'!$C43,IF('10 yr rate'!$E$10='10 yr rate'!$D$35,'10 yr rate'!$D43,IF('10 yr rate'!$E$10='10 yr rate'!$E$35,'10 yr rate'!$E43,1))))</f>
        <v>3</v>
      </c>
      <c r="F118" s="44">
        <f>IF('CPI(Inflation)'!$E$29='CPI(Inflation)'!$B$33,'CPI(Inflation)'!$B41,IF('CPI(Inflation)'!$E$29='CPI(Inflation)'!$C$33,'CPI(Inflation)'!$C41,IF('CPI(Inflation)'!$E$29='CPI(Inflation)'!$D$33,'CPI(Inflation)'!$D41,IF('CPI(Inflation)'!$E$29='CPI(Inflation)'!$E$33,'CPI(Inflation)'!$E41,1))))</f>
        <v>3</v>
      </c>
      <c r="G118" s="44">
        <f>'Baltic Dry Index'!B41</f>
        <v>2</v>
      </c>
      <c r="H118" s="44">
        <f>IF(VIX!$F$15=VIX!$B$33,VIX!B41,IF(VIX!$F$15=VIX!$C$33,VIX!C41,IF(VIX!$F$15=VIX!$D$33,VIX!D41,IF(VIX!$F$15=VIX!$E$33,VIX!E41,1))))</f>
        <v>2</v>
      </c>
      <c r="I118" s="44">
        <f>IF(Currency!$F$15=Currency!$B$33,Currency!B41,IF(Currency!$F$15=Currency!$C$33,Currency!C41,IF(Currency!$F$15=Currency!$D$33,Currency!D41,IF(Currency!$F$15=Currency!$E$33,Currency!E41,1))))</f>
        <v>3</v>
      </c>
      <c r="J118" s="44">
        <f>IF(Unemployment!$F$15=Unemployment!$B$33,Unemployment!B41,IF(Unemployment!$F$15=Unemployment!$C$33,Unemployment!C41,IF(Unemployment!$F$15=Unemployment!$D$33,Unemployment!D41,IF(Unemployment!$F$15=Unemployment!$E$33,Unemployment!E41,1))))</f>
        <v>2</v>
      </c>
      <c r="K118" s="90">
        <f t="shared" si="5"/>
        <v>2.8891999999999998</v>
      </c>
      <c r="L118" s="87">
        <f>IF(PMI!$F$12=PMI!$B$43,PMI!$B51,IF(PMI!$F$12=PMI!$C$43,PMI!$C51,IF(PMI!$F$12=PMI!$D$44,PMI!$D51,IF(PMI!$F$12=PMI!$E$43,PMI!$E51,1))))</f>
        <v>3</v>
      </c>
      <c r="M118" s="44">
        <f>BNP!J123</f>
        <v>3</v>
      </c>
      <c r="N118" s="44">
        <f>IF('10 yr rate'!$E$11='10 yr rate'!$B$35,'10 yr rate'!$B43,IF('10 yr rate'!$E$11='10 yr rate'!$C$35,'10 yr rate'!$C43,IF('10 yr rate'!$E$11='10 yr rate'!$D$35,'10 yr rate'!$D43,IF('10 yr rate'!$E$11='10 yr rate'!$E$35,'10 yr rate'!$E43,1))))</f>
        <v>3</v>
      </c>
      <c r="O118" s="44">
        <f>IF('CPI(Inflation)'!$E$30='CPI(Inflation)'!$B$33,'CPI(Inflation)'!$B41,IF('CPI(Inflation)'!$E$30='CPI(Inflation)'!$C$33,'CPI(Inflation)'!$C41,IF('CPI(Inflation)'!$E$30='CPI(Inflation)'!$D$33,'CPI(Inflation)'!$D41,IF('CPI(Inflation)'!$E$30='CPI(Inflation)'!$E$33,'CPI(Inflation)'!$E41,1))))</f>
        <v>3</v>
      </c>
      <c r="P118" s="44">
        <f>'Baltic Dry Index'!B41</f>
        <v>2</v>
      </c>
      <c r="Q118" s="44">
        <f>IF(VIX!$F$16=VIX!$B$33,VIX!B41,IF(VIX!$F$16=VIX!$C$33,VIX!C41,IF(VIX!$F$16=VIX!$D$33,VIX!D41,IF(VIX!$F$16=VIX!$E$33,VIX!E41,1))))</f>
        <v>5</v>
      </c>
      <c r="R118" s="44">
        <f>IF(Currency!$F$16=Currency!$B$33,Currency!B41,IF(Currency!$F$16=Currency!$C$33,Currency!C41,IF(Currency!$F$16=Currency!$D$33,Currency!D41,IF(Currency!$F$16=Currency!$E$33,Currency!E41,1))))</f>
        <v>3</v>
      </c>
      <c r="S118" s="44">
        <f>IF(Unemployment!$F$16=Unemployment!$B$33,Unemployment!B41,IF(Unemployment!$F$16=Unemployment!$C$33,Unemployment!C41,IF(Unemployment!$F$16=Unemployment!$D$33,Unemployment!D41,IF(Unemployment!$F$16=Unemployment!$E$33,Unemployment!E41,1))))</f>
        <v>2</v>
      </c>
      <c r="T118" s="90">
        <f t="shared" si="4"/>
        <v>2.8891999999999998</v>
      </c>
    </row>
    <row r="119" spans="2:20" x14ac:dyDescent="0.3">
      <c r="B119" s="53" t="s">
        <v>17</v>
      </c>
      <c r="C119" s="87">
        <f>IF(PMI!$F$11=PMI!$B$43,PMI!$B52,IF(PMI!$F$11=PMI!$C$43,PMI!$C52,IF(PMI!$F$11=PMI!$D$43,PMI!$D52,IF(PMI!$F$11=PMI!$E$43,PMI!$E52,1))))</f>
        <v>3</v>
      </c>
      <c r="D119" s="44">
        <f>BNP!I128</f>
        <v>5</v>
      </c>
      <c r="E119" s="44">
        <f>IF('10 yr rate'!$E$10='10 yr rate'!$B$35,'10 yr rate'!$B44,IF('10 yr rate'!$E$10='10 yr rate'!$C$35,'10 yr rate'!$C44,IF('10 yr rate'!$E$10='10 yr rate'!$D$35,'10 yr rate'!$D44,IF('10 yr rate'!$E$10='10 yr rate'!$E$35,'10 yr rate'!$E44,1))))</f>
        <v>5</v>
      </c>
      <c r="F119" s="44">
        <f>IF('CPI(Inflation)'!$E$29='CPI(Inflation)'!$B$33,'CPI(Inflation)'!$B42,IF('CPI(Inflation)'!$E$29='CPI(Inflation)'!$C$33,'CPI(Inflation)'!$C42,IF('CPI(Inflation)'!$E$29='CPI(Inflation)'!$D$33,'CPI(Inflation)'!$D42,IF('CPI(Inflation)'!$E$29='CPI(Inflation)'!$E$33,'CPI(Inflation)'!$E42,1))))</f>
        <v>3</v>
      </c>
      <c r="G119" s="44">
        <f>'Baltic Dry Index'!B42</f>
        <v>2</v>
      </c>
      <c r="H119" s="44">
        <f>IF(VIX!$F$15=VIX!$B$33,VIX!B42,IF(VIX!$F$15=VIX!$C$33,VIX!C42,IF(VIX!$F$15=VIX!$D$33,VIX!D42,IF(VIX!$F$15=VIX!$E$33,VIX!E42,1))))</f>
        <v>2</v>
      </c>
      <c r="I119" s="44">
        <f>IF(Currency!$F$15=Currency!$B$33,Currency!B42,IF(Currency!$F$15=Currency!$C$33,Currency!C42,IF(Currency!$F$15=Currency!$D$33,Currency!D42,IF(Currency!$F$15=Currency!$E$33,Currency!E42,1))))</f>
        <v>5</v>
      </c>
      <c r="J119" s="44">
        <f>IF(Unemployment!$F$15=Unemployment!$B$33,Unemployment!B42,IF(Unemployment!$F$15=Unemployment!$C$33,Unemployment!C42,IF(Unemployment!$F$15=Unemployment!$D$33,Unemployment!D42,IF(Unemployment!$F$15=Unemployment!$E$33,Unemployment!E42,1))))</f>
        <v>2</v>
      </c>
      <c r="K119" s="90">
        <f t="shared" si="5"/>
        <v>3.9450000000000003</v>
      </c>
      <c r="L119" s="87">
        <f>IF(PMI!$F$12=PMI!$B$43,PMI!$B52,IF(PMI!$F$12=PMI!$C$43,PMI!$C52,IF(PMI!$F$12=PMI!$D$44,PMI!$D52,IF(PMI!$F$12=PMI!$E$43,PMI!$E52,1))))</f>
        <v>3</v>
      </c>
      <c r="M119" s="44">
        <f>BNP!J128</f>
        <v>3</v>
      </c>
      <c r="N119" s="44">
        <f>IF('10 yr rate'!$E$11='10 yr rate'!$B$35,'10 yr rate'!$B44,IF('10 yr rate'!$E$11='10 yr rate'!$C$35,'10 yr rate'!$C44,IF('10 yr rate'!$E$11='10 yr rate'!$D$35,'10 yr rate'!$D44,IF('10 yr rate'!$E$11='10 yr rate'!$E$35,'10 yr rate'!$E44,1))))</f>
        <v>5</v>
      </c>
      <c r="O119" s="44">
        <f>IF('CPI(Inflation)'!$E$30='CPI(Inflation)'!$B$33,'CPI(Inflation)'!$B42,IF('CPI(Inflation)'!$E$30='CPI(Inflation)'!$C$33,'CPI(Inflation)'!$C42,IF('CPI(Inflation)'!$E$30='CPI(Inflation)'!$D$33,'CPI(Inflation)'!$D42,IF('CPI(Inflation)'!$E$30='CPI(Inflation)'!$E$33,'CPI(Inflation)'!$E42,1))))</f>
        <v>3</v>
      </c>
      <c r="P119" s="44">
        <f>'Baltic Dry Index'!B42</f>
        <v>2</v>
      </c>
      <c r="Q119" s="44">
        <f>IF(VIX!$F$16=VIX!$B$33,VIX!B42,IF(VIX!$F$16=VIX!$C$33,VIX!C42,IF(VIX!$F$16=VIX!$D$33,VIX!D42,IF(VIX!$F$16=VIX!$E$33,VIX!E42,1))))</f>
        <v>1</v>
      </c>
      <c r="R119" s="44">
        <f>IF(Currency!$F$16=Currency!$B$33,Currency!B42,IF(Currency!$F$16=Currency!$C$33,Currency!C42,IF(Currency!$F$16=Currency!$D$33,Currency!D42,IF(Currency!$F$16=Currency!$E$33,Currency!E42,1))))</f>
        <v>3</v>
      </c>
      <c r="S119" s="44">
        <f>IF(Unemployment!$F$16=Unemployment!$B$33,Unemployment!B42,IF(Unemployment!$F$16=Unemployment!$C$33,Unemployment!C42,IF(Unemployment!$F$16=Unemployment!$D$33,Unemployment!D42,IF(Unemployment!$F$16=Unemployment!$E$33,Unemployment!E42,1))))</f>
        <v>2</v>
      </c>
      <c r="T119" s="90">
        <f t="shared" si="4"/>
        <v>3.2225999999999999</v>
      </c>
    </row>
    <row r="120" spans="2:20" x14ac:dyDescent="0.3">
      <c r="B120" s="53" t="s">
        <v>18</v>
      </c>
      <c r="C120" s="87">
        <f>IF(PMI!$F$11=PMI!$B$43,PMI!$B53,IF(PMI!$F$11=PMI!$C$43,PMI!$C53,IF(PMI!$F$11=PMI!$D$43,PMI!$D53,IF(PMI!$F$11=PMI!$E$43,PMI!$E53,1))))</f>
        <v>4</v>
      </c>
      <c r="D120" s="44">
        <f>BNP!I133</f>
        <v>3</v>
      </c>
      <c r="E120" s="44">
        <f>IF('10 yr rate'!$E$10='10 yr rate'!$B$35,'10 yr rate'!$B45,IF('10 yr rate'!$E$10='10 yr rate'!$C$35,'10 yr rate'!$C45,IF('10 yr rate'!$E$10='10 yr rate'!$D$35,'10 yr rate'!$D45,IF('10 yr rate'!$E$10='10 yr rate'!$E$35,'10 yr rate'!$E45,1))))</f>
        <v>3</v>
      </c>
      <c r="F120" s="44">
        <f>IF('CPI(Inflation)'!$E$29='CPI(Inflation)'!$B$33,'CPI(Inflation)'!$B43,IF('CPI(Inflation)'!$E$29='CPI(Inflation)'!$C$33,'CPI(Inflation)'!$C43,IF('CPI(Inflation)'!$E$29='CPI(Inflation)'!$D$33,'CPI(Inflation)'!$D43,IF('CPI(Inflation)'!$E$29='CPI(Inflation)'!$E$33,'CPI(Inflation)'!$E43,1))))</f>
        <v>4</v>
      </c>
      <c r="G120" s="44">
        <f>'Baltic Dry Index'!B43</f>
        <v>3</v>
      </c>
      <c r="H120" s="44">
        <f>IF(VIX!$F$15=VIX!$B$33,VIX!B43,IF(VIX!$F$15=VIX!$C$33,VIX!C43,IF(VIX!$F$15=VIX!$D$33,VIX!D43,IF(VIX!$F$15=VIX!$E$33,VIX!E43,1))))</f>
        <v>3</v>
      </c>
      <c r="I120" s="44">
        <f>IF(Currency!$F$15=Currency!$B$33,Currency!B43,IF(Currency!$F$15=Currency!$C$33,Currency!C43,IF(Currency!$F$15=Currency!$D$33,Currency!D43,IF(Currency!$F$15=Currency!$E$33,Currency!E43,1))))</f>
        <v>3</v>
      </c>
      <c r="J120" s="44">
        <f>IF(Unemployment!$F$15=Unemployment!$B$33,Unemployment!B43,IF(Unemployment!$F$15=Unemployment!$C$33,Unemployment!C43,IF(Unemployment!$F$15=Unemployment!$D$33,Unemployment!D43,IF(Unemployment!$F$15=Unemployment!$E$33,Unemployment!E43,1))))</f>
        <v>3</v>
      </c>
      <c r="K120" s="90">
        <f t="shared" si="5"/>
        <v>3.3613999999999997</v>
      </c>
      <c r="L120" s="87">
        <f>IF(PMI!$F$12=PMI!$B$43,PMI!$B53,IF(PMI!$F$12=PMI!$C$43,PMI!$C53,IF(PMI!$F$12=PMI!$D$44,PMI!$D53,IF(PMI!$F$12=PMI!$E$43,PMI!$E53,1))))</f>
        <v>4</v>
      </c>
      <c r="M120" s="44">
        <f>BNP!J133</f>
        <v>4</v>
      </c>
      <c r="N120" s="44">
        <f>IF('10 yr rate'!$E$11='10 yr rate'!$B$35,'10 yr rate'!$B45,IF('10 yr rate'!$E$11='10 yr rate'!$C$35,'10 yr rate'!$C45,IF('10 yr rate'!$E$11='10 yr rate'!$D$35,'10 yr rate'!$D45,IF('10 yr rate'!$E$11='10 yr rate'!$E$35,'10 yr rate'!$E45,1))))</f>
        <v>3</v>
      </c>
      <c r="O120" s="44">
        <f>IF('CPI(Inflation)'!$E$30='CPI(Inflation)'!$B$33,'CPI(Inflation)'!$B43,IF('CPI(Inflation)'!$E$30='CPI(Inflation)'!$C$33,'CPI(Inflation)'!$C43,IF('CPI(Inflation)'!$E$30='CPI(Inflation)'!$D$33,'CPI(Inflation)'!$D43,IF('CPI(Inflation)'!$E$30='CPI(Inflation)'!$E$33,'CPI(Inflation)'!$E43,1))))</f>
        <v>4</v>
      </c>
      <c r="P120" s="44">
        <f>'Baltic Dry Index'!B43</f>
        <v>3</v>
      </c>
      <c r="Q120" s="44">
        <f>IF(VIX!$F$16=VIX!$B$33,VIX!B43,IF(VIX!$F$16=VIX!$C$33,VIX!C43,IF(VIX!$F$16=VIX!$D$33,VIX!D43,IF(VIX!$F$16=VIX!$E$33,VIX!E43,1))))</f>
        <v>2</v>
      </c>
      <c r="R120" s="44">
        <f>IF(Currency!$F$16=Currency!$B$33,Currency!B43,IF(Currency!$F$16=Currency!$C$33,Currency!C43,IF(Currency!$F$16=Currency!$D$33,Currency!D43,IF(Currency!$F$16=Currency!$E$33,Currency!E43,1))))</f>
        <v>4</v>
      </c>
      <c r="S120" s="44">
        <f>IF(Unemployment!$F$16=Unemployment!$B$33,Unemployment!B43,IF(Unemployment!$F$16=Unemployment!$C$33,Unemployment!C43,IF(Unemployment!$F$16=Unemployment!$D$33,Unemployment!D43,IF(Unemployment!$F$16=Unemployment!$E$33,Unemployment!E43,1))))</f>
        <v>3</v>
      </c>
      <c r="T120" s="90">
        <f t="shared" si="4"/>
        <v>3.7225999999999999</v>
      </c>
    </row>
    <row r="121" spans="2:20" x14ac:dyDescent="0.3">
      <c r="B121" s="54" t="s">
        <v>19</v>
      </c>
      <c r="C121" s="88">
        <f>IF(PMI!$F$11=PMI!$B$43,PMI!$B54,IF(PMI!$F$11=PMI!$C$43,PMI!$C54,IF(PMI!$F$11=PMI!$D$43,PMI!$D54,IF(PMI!$F$11=PMI!$E$43,PMI!$E54,1))))</f>
        <v>2</v>
      </c>
      <c r="D121" s="55">
        <f>BNP!I138</f>
        <v>4</v>
      </c>
      <c r="E121" s="55">
        <f>IF('10 yr rate'!$E$10='10 yr rate'!$B$35,'10 yr rate'!$B46,IF('10 yr rate'!$E$10='10 yr rate'!$C$35,'10 yr rate'!$C46,IF('10 yr rate'!$E$10='10 yr rate'!$D$35,'10 yr rate'!$D46,IF('10 yr rate'!$E$10='10 yr rate'!$E$35,'10 yr rate'!$E46,1))))</f>
        <v>4</v>
      </c>
      <c r="F121" s="55">
        <f>IF('CPI(Inflation)'!$E$29='CPI(Inflation)'!$B$33,'CPI(Inflation)'!$B44,IF('CPI(Inflation)'!$E$29='CPI(Inflation)'!$C$33,'CPI(Inflation)'!$C44,IF('CPI(Inflation)'!$E$29='CPI(Inflation)'!$D$33,'CPI(Inflation)'!$D44,IF('CPI(Inflation)'!$E$29='CPI(Inflation)'!$E$33,'CPI(Inflation)'!$E44,1))))</f>
        <v>2</v>
      </c>
      <c r="G121" s="55">
        <f>'Baltic Dry Index'!B44</f>
        <v>2</v>
      </c>
      <c r="H121" s="55">
        <f>IF(VIX!$F$15=VIX!$B$33,VIX!B44,IF(VIX!$F$15=VIX!$C$33,VIX!C44,IF(VIX!$F$15=VIX!$D$33,VIX!D44,IF(VIX!$F$15=VIX!$E$33,VIX!E44,1))))</f>
        <v>2</v>
      </c>
      <c r="I121" s="55">
        <f>IF(Currency!$F$15=Currency!$B$33,Currency!B44,IF(Currency!$F$15=Currency!$C$33,Currency!C44,IF(Currency!$F$15=Currency!$D$33,Currency!D44,IF(Currency!$F$15=Currency!$E$33,Currency!E44,1))))</f>
        <v>4</v>
      </c>
      <c r="J121" s="55">
        <f>IF(Unemployment!$F$15=Unemployment!$B$33,Unemployment!B44,IF(Unemployment!$F$15=Unemployment!$C$33,Unemployment!C44,IF(Unemployment!$F$15=Unemployment!$D$33,Unemployment!D44,IF(Unemployment!$F$15=Unemployment!$E$33,Unemployment!E44,1))))</f>
        <v>2</v>
      </c>
      <c r="K121" s="90">
        <f t="shared" si="5"/>
        <v>3.0559999999999996</v>
      </c>
      <c r="L121" s="88">
        <f>IF(PMI!$F$12=PMI!$B$43,PMI!$B54,IF(PMI!$F$12=PMI!$C$43,PMI!$C54,IF(PMI!$F$12=PMI!$D$44,PMI!$D54,IF(PMI!$F$12=PMI!$E$43,PMI!$E54,1))))</f>
        <v>2</v>
      </c>
      <c r="M121" s="55">
        <f>BNP!J138</f>
        <v>2</v>
      </c>
      <c r="N121" s="55">
        <f>IF('10 yr rate'!$E$11='10 yr rate'!$B$35,'10 yr rate'!$B46,IF('10 yr rate'!$E$11='10 yr rate'!$C$35,'10 yr rate'!$C46,IF('10 yr rate'!$E$11='10 yr rate'!$D$35,'10 yr rate'!$D46,IF('10 yr rate'!$E$11='10 yr rate'!$E$35,'10 yr rate'!$E46,1))))</f>
        <v>4</v>
      </c>
      <c r="O121" s="55">
        <f>IF('CPI(Inflation)'!$E$30='CPI(Inflation)'!$B$33,'CPI(Inflation)'!$B44,IF('CPI(Inflation)'!$E$30='CPI(Inflation)'!$C$33,'CPI(Inflation)'!$C44,IF('CPI(Inflation)'!$E$30='CPI(Inflation)'!$D$33,'CPI(Inflation)'!$D44,IF('CPI(Inflation)'!$E$30='CPI(Inflation)'!$E$33,'CPI(Inflation)'!$E44,1))))</f>
        <v>2</v>
      </c>
      <c r="P121" s="55">
        <f>'Baltic Dry Index'!B44</f>
        <v>2</v>
      </c>
      <c r="Q121" s="55">
        <f>IF(VIX!$F$16=VIX!$B$33,VIX!B44,IF(VIX!$F$16=VIX!$C$33,VIX!C44,IF(VIX!$F$16=VIX!$D$33,VIX!D44,IF(VIX!$F$16=VIX!$E$33,VIX!E44,1))))</f>
        <v>5</v>
      </c>
      <c r="R121" s="55">
        <f>IF(Currency!$F$16=Currency!$B$33,Currency!B44,IF(Currency!$F$16=Currency!$C$33,Currency!C44,IF(Currency!$F$16=Currency!$D$33,Currency!D44,IF(Currency!$F$16=Currency!$E$33,Currency!E44,1))))</f>
        <v>2</v>
      </c>
      <c r="S121" s="55">
        <f>IF(Unemployment!$F$16=Unemployment!$B$33,Unemployment!B44,IF(Unemployment!$F$16=Unemployment!$C$33,Unemployment!C44,IF(Unemployment!$F$16=Unemployment!$D$33,Unemployment!D44,IF(Unemployment!$F$16=Unemployment!$E$33,Unemployment!E44,1))))</f>
        <v>2</v>
      </c>
      <c r="T121" s="90">
        <f t="shared" si="4"/>
        <v>2.3336000000000001</v>
      </c>
    </row>
  </sheetData>
  <pageMargins left="0.7" right="0.7" top="0.75" bottom="0.75" header="0.3" footer="0.3"/>
  <pageSetup paperSize="8" scale="39"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1EB5B-1631-44D2-B493-4B536F0D1704}">
  <sheetPr>
    <tabColor rgb="FFFFC000"/>
    <pageSetUpPr fitToPage="1"/>
  </sheetPr>
  <dimension ref="B1:CK121"/>
  <sheetViews>
    <sheetView showGridLines="0" topLeftCell="A81" zoomScale="66" zoomScaleNormal="60" workbookViewId="0">
      <selection activeCell="BD112" sqref="BD112"/>
    </sheetView>
  </sheetViews>
  <sheetFormatPr defaultColWidth="8.88671875" defaultRowHeight="14.4" outlineLevelCol="1" x14ac:dyDescent="0.3"/>
  <cols>
    <col min="1" max="1" width="2.6640625" style="44" customWidth="1"/>
    <col min="2" max="2" width="32.33203125" style="44" customWidth="1"/>
    <col min="3" max="6" width="7.6640625" style="44" hidden="1" customWidth="1" outlineLevel="1"/>
    <col min="7" max="7" width="11" style="44" bestFit="1" customWidth="1" collapsed="1"/>
    <col min="8" max="11" width="11" style="44" hidden="1" customWidth="1" outlineLevel="1"/>
    <col min="12" max="12" width="11" style="44" customWidth="1" collapsed="1"/>
    <col min="13" max="16" width="11" style="44" hidden="1" customWidth="1" outlineLevel="1"/>
    <col min="17" max="17" width="11" style="44" customWidth="1" collapsed="1"/>
    <col min="18" max="21" width="11" style="44" hidden="1" customWidth="1" outlineLevel="1"/>
    <col min="22" max="22" width="11" style="44" customWidth="1" collapsed="1"/>
    <col min="23" max="26" width="11" style="44" hidden="1" customWidth="1" outlineLevel="1"/>
    <col min="27" max="27" width="11" style="44" customWidth="1" collapsed="1"/>
    <col min="28" max="31" width="11" style="44" hidden="1" customWidth="1" outlineLevel="1"/>
    <col min="32" max="32" width="11" style="44" bestFit="1" customWidth="1" collapsed="1"/>
    <col min="33" max="33" width="6" style="44" hidden="1" customWidth="1" outlineLevel="1"/>
    <col min="34" max="34" width="6.5546875" style="44" hidden="1" customWidth="1" outlineLevel="1"/>
    <col min="35" max="35" width="7.88671875" style="44" hidden="1" customWidth="1" outlineLevel="1"/>
    <col min="36" max="36" width="5.6640625" style="44" hidden="1" customWidth="1" outlineLevel="1"/>
    <col min="37" max="37" width="20.109375" style="44" hidden="1" customWidth="1" outlineLevel="1"/>
    <col min="38" max="38" width="5.6640625" style="44" hidden="1" customWidth="1" outlineLevel="1"/>
    <col min="39" max="39" width="12" style="44" hidden="1" customWidth="1" outlineLevel="1"/>
    <col min="40" max="40" width="18.6640625" style="44" hidden="1" customWidth="1" outlineLevel="1"/>
    <col min="41" max="41" width="15.44140625" style="44" bestFit="1" customWidth="1" collapsed="1"/>
    <col min="42" max="42" width="7.6640625" style="44" hidden="1" customWidth="1" outlineLevel="1"/>
    <col min="43" max="45" width="8.88671875" style="44" hidden="1" customWidth="1" outlineLevel="1"/>
    <col min="46" max="46" width="20.109375" style="44" hidden="1" customWidth="1" outlineLevel="1"/>
    <col min="47" max="47" width="5.6640625" style="44" hidden="1" customWidth="1" outlineLevel="1"/>
    <col min="48" max="48" width="12" style="44" hidden="1" customWidth="1" outlineLevel="1"/>
    <col min="49" max="49" width="18.6640625" style="44" hidden="1" customWidth="1" outlineLevel="1"/>
    <col min="50" max="50" width="15.44140625" style="44" bestFit="1" customWidth="1" collapsed="1"/>
    <col min="51" max="54" width="8.88671875" style="44" customWidth="1"/>
    <col min="55" max="16384" width="8.88671875" style="44"/>
  </cols>
  <sheetData>
    <row r="1" spans="2:89" ht="15" customHeight="1" thickBot="1" x14ac:dyDescent="0.35"/>
    <row r="2" spans="2:89" x14ac:dyDescent="0.3">
      <c r="B2" s="58"/>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60"/>
      <c r="BL2" s="58"/>
      <c r="BM2" s="59"/>
      <c r="BN2" s="59"/>
      <c r="BO2" s="59"/>
      <c r="BP2" s="59"/>
      <c r="BQ2" s="59"/>
      <c r="BR2" s="59"/>
      <c r="BS2" s="59"/>
      <c r="BT2" s="59"/>
      <c r="BU2" s="59"/>
      <c r="BV2" s="59"/>
      <c r="BW2" s="59"/>
      <c r="BX2" s="59"/>
      <c r="BY2" s="59"/>
      <c r="BZ2" s="59"/>
      <c r="CA2" s="59"/>
      <c r="CB2" s="59"/>
      <c r="CC2" s="59"/>
      <c r="CD2" s="59"/>
      <c r="CE2" s="59"/>
      <c r="CF2" s="59"/>
      <c r="CG2" s="59"/>
      <c r="CH2" s="59"/>
      <c r="CI2" s="59"/>
      <c r="CJ2" s="59"/>
      <c r="CK2" s="60"/>
    </row>
    <row r="3" spans="2:89" x14ac:dyDescent="0.3">
      <c r="B3" s="61"/>
      <c r="C3" s="62"/>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3"/>
      <c r="BL3" s="61"/>
      <c r="BM3" s="62"/>
      <c r="BN3" s="62"/>
      <c r="BO3" s="62"/>
      <c r="BP3" s="62"/>
      <c r="BQ3" s="62"/>
      <c r="BR3" s="62"/>
      <c r="BS3" s="62"/>
      <c r="BT3" s="62"/>
      <c r="BU3" s="62"/>
      <c r="BV3" s="62"/>
      <c r="BW3" s="62"/>
      <c r="BX3" s="62"/>
      <c r="BY3" s="62"/>
      <c r="BZ3" s="62"/>
      <c r="CA3" s="62"/>
      <c r="CB3" s="62"/>
      <c r="CC3" s="62"/>
      <c r="CD3" s="62"/>
      <c r="CE3" s="62"/>
      <c r="CF3" s="62"/>
      <c r="CG3" s="62"/>
      <c r="CH3" s="62"/>
      <c r="CI3" s="62"/>
      <c r="CJ3" s="62"/>
      <c r="CK3" s="63"/>
    </row>
    <row r="4" spans="2:89" x14ac:dyDescent="0.3">
      <c r="B4" s="61"/>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3"/>
      <c r="BL4" s="61"/>
      <c r="BM4" s="62"/>
      <c r="BN4" s="62"/>
      <c r="BO4" s="62"/>
      <c r="BP4" s="62"/>
      <c r="BQ4" s="62"/>
      <c r="BR4" s="62"/>
      <c r="BS4" s="62"/>
      <c r="BT4" s="62"/>
      <c r="BU4" s="62"/>
      <c r="BV4" s="62"/>
      <c r="BW4" s="62"/>
      <c r="BX4" s="62"/>
      <c r="BY4" s="62"/>
      <c r="BZ4" s="62"/>
      <c r="CA4" s="62"/>
      <c r="CB4" s="62"/>
      <c r="CC4" s="62"/>
      <c r="CD4" s="62"/>
      <c r="CE4" s="62"/>
      <c r="CF4" s="62"/>
      <c r="CG4" s="62"/>
      <c r="CH4" s="62"/>
      <c r="CI4" s="62"/>
      <c r="CJ4" s="62"/>
      <c r="CK4" s="63"/>
    </row>
    <row r="5" spans="2:89" x14ac:dyDescent="0.3">
      <c r="B5" s="61"/>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3"/>
      <c r="BL5" s="61"/>
      <c r="BM5" s="62"/>
      <c r="BN5" s="62"/>
      <c r="BO5" s="62"/>
      <c r="BP5" s="62"/>
      <c r="BQ5" s="62"/>
      <c r="BR5" s="62"/>
      <c r="BS5" s="62"/>
      <c r="BT5" s="62"/>
      <c r="BU5" s="62"/>
      <c r="BV5" s="62"/>
      <c r="BW5" s="62"/>
      <c r="BX5" s="62"/>
      <c r="BY5" s="62"/>
      <c r="BZ5" s="62"/>
      <c r="CA5" s="62"/>
      <c r="CB5" s="62"/>
      <c r="CC5" s="62"/>
      <c r="CD5" s="62"/>
      <c r="CE5" s="62"/>
      <c r="CF5" s="62"/>
      <c r="CG5" s="62"/>
      <c r="CH5" s="62"/>
      <c r="CI5" s="62"/>
      <c r="CJ5" s="62"/>
      <c r="CK5" s="63"/>
    </row>
    <row r="6" spans="2:89" x14ac:dyDescent="0.3">
      <c r="B6" s="61"/>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3"/>
      <c r="BL6" s="61"/>
      <c r="BM6" s="62"/>
      <c r="BN6" s="62"/>
      <c r="BO6" s="62"/>
      <c r="BP6" s="62"/>
      <c r="BQ6" s="62"/>
      <c r="BR6" s="62"/>
      <c r="BS6" s="62"/>
      <c r="BT6" s="62"/>
      <c r="BU6" s="62"/>
      <c r="BV6" s="62"/>
      <c r="BW6" s="62"/>
      <c r="BX6" s="62"/>
      <c r="BY6" s="62"/>
      <c r="BZ6" s="62"/>
      <c r="CA6" s="62"/>
      <c r="CB6" s="62"/>
      <c r="CC6" s="62"/>
      <c r="CD6" s="62"/>
      <c r="CE6" s="62"/>
      <c r="CF6" s="62"/>
      <c r="CG6" s="62"/>
      <c r="CH6" s="62"/>
      <c r="CI6" s="62"/>
      <c r="CJ6" s="62"/>
      <c r="CK6" s="63"/>
    </row>
    <row r="7" spans="2:89" x14ac:dyDescent="0.3">
      <c r="B7" s="61"/>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3"/>
      <c r="BL7" s="61"/>
      <c r="BM7" s="62"/>
      <c r="BN7" s="62"/>
      <c r="BO7" s="62"/>
      <c r="BP7" s="62"/>
      <c r="BQ7" s="62"/>
      <c r="BR7" s="62"/>
      <c r="BS7" s="62"/>
      <c r="BT7" s="62"/>
      <c r="BU7" s="62"/>
      <c r="BV7" s="62"/>
      <c r="BW7" s="62"/>
      <c r="BX7" s="62"/>
      <c r="BY7" s="62"/>
      <c r="BZ7" s="62"/>
      <c r="CA7" s="62"/>
      <c r="CB7" s="62"/>
      <c r="CC7" s="62"/>
      <c r="CD7" s="62"/>
      <c r="CE7" s="62"/>
      <c r="CF7" s="62"/>
      <c r="CG7" s="62"/>
      <c r="CH7" s="62"/>
      <c r="CI7" s="62"/>
      <c r="CJ7" s="62"/>
      <c r="CK7" s="63"/>
    </row>
    <row r="8" spans="2:89" x14ac:dyDescent="0.3">
      <c r="B8" s="61"/>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c r="BL8" s="61"/>
      <c r="BM8" s="62"/>
      <c r="BN8" s="62"/>
      <c r="BO8" s="62"/>
      <c r="BP8" s="62"/>
      <c r="BQ8" s="62"/>
      <c r="BR8" s="62"/>
      <c r="BS8" s="62"/>
      <c r="BT8" s="62"/>
      <c r="BU8" s="62"/>
      <c r="BV8" s="62"/>
      <c r="BW8" s="62"/>
      <c r="BX8" s="62"/>
      <c r="BY8" s="62"/>
      <c r="BZ8" s="62"/>
      <c r="CA8" s="62"/>
      <c r="CB8" s="62"/>
      <c r="CC8" s="62"/>
      <c r="CD8" s="62"/>
      <c r="CE8" s="62"/>
      <c r="CF8" s="62"/>
      <c r="CG8" s="62"/>
      <c r="CH8" s="62"/>
      <c r="CI8" s="62"/>
      <c r="CJ8" s="62"/>
      <c r="CK8" s="63"/>
    </row>
    <row r="9" spans="2:89" x14ac:dyDescent="0.3">
      <c r="B9" s="61"/>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3"/>
      <c r="BL9" s="61"/>
      <c r="BM9" s="62"/>
      <c r="BN9" s="62"/>
      <c r="BO9" s="62"/>
      <c r="BP9" s="62"/>
      <c r="BQ9" s="62"/>
      <c r="BR9" s="62"/>
      <c r="BS9" s="62"/>
      <c r="BT9" s="62"/>
      <c r="BU9" s="62"/>
      <c r="BV9" s="62"/>
      <c r="BW9" s="62"/>
      <c r="BX9" s="62"/>
      <c r="BY9" s="62"/>
      <c r="BZ9" s="62"/>
      <c r="CA9" s="62"/>
      <c r="CB9" s="62"/>
      <c r="CC9" s="62"/>
      <c r="CD9" s="62"/>
      <c r="CE9" s="62"/>
      <c r="CF9" s="62"/>
      <c r="CG9" s="62"/>
      <c r="CH9" s="62"/>
      <c r="CI9" s="62"/>
      <c r="CJ9" s="62"/>
      <c r="CK9" s="63"/>
    </row>
    <row r="10" spans="2:89" x14ac:dyDescent="0.3">
      <c r="B10" s="61"/>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3"/>
      <c r="BL10" s="61"/>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3"/>
    </row>
    <row r="11" spans="2:89" x14ac:dyDescent="0.3">
      <c r="B11" s="61"/>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3"/>
      <c r="BL11" s="61"/>
      <c r="BM11" s="62"/>
      <c r="BN11" s="62"/>
      <c r="BO11" s="62"/>
      <c r="BP11" s="62"/>
      <c r="BQ11" s="62"/>
      <c r="BR11" s="62"/>
      <c r="BS11" s="62"/>
      <c r="BT11" s="62"/>
      <c r="BU11" s="62"/>
      <c r="BV11" s="62"/>
      <c r="BW11" s="62"/>
      <c r="BX11" s="62"/>
      <c r="BY11" s="62"/>
      <c r="BZ11" s="62"/>
      <c r="CA11" s="62"/>
      <c r="CB11" s="62"/>
      <c r="CC11" s="62"/>
      <c r="CD11" s="62"/>
      <c r="CE11" s="62"/>
      <c r="CF11" s="62"/>
      <c r="CG11" s="62"/>
      <c r="CH11" s="62"/>
      <c r="CI11" s="62"/>
      <c r="CJ11" s="62"/>
      <c r="CK11" s="63"/>
    </row>
    <row r="12" spans="2:89" x14ac:dyDescent="0.3">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3"/>
      <c r="BL12" s="61"/>
      <c r="BM12" s="62"/>
      <c r="BN12" s="62"/>
      <c r="BO12" s="62"/>
      <c r="BP12" s="62"/>
      <c r="BQ12" s="62"/>
      <c r="BR12" s="62"/>
      <c r="BS12" s="62"/>
      <c r="BT12" s="62"/>
      <c r="BU12" s="62"/>
      <c r="BV12" s="62"/>
      <c r="BW12" s="62"/>
      <c r="BX12" s="62"/>
      <c r="BY12" s="62"/>
      <c r="BZ12" s="62"/>
      <c r="CA12" s="62"/>
      <c r="CB12" s="62"/>
      <c r="CC12" s="62"/>
      <c r="CD12" s="62"/>
      <c r="CE12" s="62"/>
      <c r="CF12" s="62"/>
      <c r="CG12" s="62"/>
      <c r="CH12" s="62"/>
      <c r="CI12" s="62"/>
      <c r="CJ12" s="62"/>
      <c r="CK12" s="63"/>
    </row>
    <row r="13" spans="2:89" x14ac:dyDescent="0.3">
      <c r="B13" s="61"/>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3"/>
      <c r="BL13" s="61"/>
      <c r="BM13" s="62"/>
      <c r="BN13" s="62"/>
      <c r="BO13" s="62"/>
      <c r="BP13" s="62"/>
      <c r="BQ13" s="62"/>
      <c r="BR13" s="62"/>
      <c r="BS13" s="62"/>
      <c r="BT13" s="62"/>
      <c r="BU13" s="62"/>
      <c r="BV13" s="62"/>
      <c r="BW13" s="62"/>
      <c r="BX13" s="62"/>
      <c r="BY13" s="62"/>
      <c r="BZ13" s="62"/>
      <c r="CA13" s="62"/>
      <c r="CB13" s="62"/>
      <c r="CC13" s="62"/>
      <c r="CD13" s="62"/>
      <c r="CE13" s="62"/>
      <c r="CF13" s="62"/>
      <c r="CG13" s="62"/>
      <c r="CH13" s="62"/>
      <c r="CI13" s="62"/>
      <c r="CJ13" s="62"/>
      <c r="CK13" s="63"/>
    </row>
    <row r="14" spans="2:89" x14ac:dyDescent="0.3">
      <c r="B14" s="61"/>
      <c r="C14" s="62"/>
      <c r="D14" s="62"/>
      <c r="E14" s="62"/>
      <c r="F14" s="62"/>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3"/>
      <c r="BL14" s="61"/>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3"/>
    </row>
    <row r="15" spans="2:89" x14ac:dyDescent="0.3">
      <c r="B15" s="61"/>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3"/>
      <c r="BL15" s="61"/>
      <c r="BM15" s="62"/>
      <c r="BN15" s="62"/>
      <c r="BO15" s="62"/>
      <c r="BP15" s="62"/>
      <c r="BQ15" s="62"/>
      <c r="BR15" s="62"/>
      <c r="BS15" s="62"/>
      <c r="BT15" s="62"/>
      <c r="BU15" s="62"/>
      <c r="BV15" s="62"/>
      <c r="BW15" s="62"/>
      <c r="BX15" s="62"/>
      <c r="BY15" s="62"/>
      <c r="BZ15" s="62"/>
      <c r="CA15" s="62"/>
      <c r="CB15" s="62"/>
      <c r="CC15" s="62"/>
      <c r="CD15" s="62"/>
      <c r="CE15" s="62"/>
      <c r="CF15" s="62"/>
      <c r="CG15" s="62"/>
      <c r="CH15" s="62"/>
      <c r="CI15" s="62"/>
      <c r="CJ15" s="62"/>
      <c r="CK15" s="63"/>
    </row>
    <row r="16" spans="2:89" x14ac:dyDescent="0.3">
      <c r="B16" s="61"/>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3"/>
      <c r="BL16" s="61"/>
      <c r="BM16" s="62"/>
      <c r="BN16" s="62"/>
      <c r="BO16" s="62"/>
      <c r="BP16" s="62"/>
      <c r="BQ16" s="62"/>
      <c r="BR16" s="62"/>
      <c r="BS16" s="62"/>
      <c r="BT16" s="62"/>
      <c r="BU16" s="62"/>
      <c r="BV16" s="62"/>
      <c r="BW16" s="62"/>
      <c r="BX16" s="62"/>
      <c r="BY16" s="62"/>
      <c r="BZ16" s="62"/>
      <c r="CA16" s="62"/>
      <c r="CB16" s="62"/>
      <c r="CC16" s="62"/>
      <c r="CD16" s="62"/>
      <c r="CE16" s="62"/>
      <c r="CF16" s="62"/>
      <c r="CG16" s="62"/>
      <c r="CH16" s="62"/>
      <c r="CI16" s="62"/>
      <c r="CJ16" s="62"/>
      <c r="CK16" s="63"/>
    </row>
    <row r="17" spans="2:89" x14ac:dyDescent="0.3">
      <c r="B17" s="61"/>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3"/>
      <c r="BL17" s="61"/>
      <c r="BM17" s="62"/>
      <c r="BN17" s="62"/>
      <c r="BO17" s="62"/>
      <c r="BP17" s="62"/>
      <c r="BQ17" s="62"/>
      <c r="BR17" s="62"/>
      <c r="BS17" s="62"/>
      <c r="BT17" s="62"/>
      <c r="BU17" s="62"/>
      <c r="BV17" s="62"/>
      <c r="BW17" s="62"/>
      <c r="BX17" s="62"/>
      <c r="BY17" s="62"/>
      <c r="BZ17" s="62"/>
      <c r="CA17" s="62"/>
      <c r="CB17" s="62"/>
      <c r="CC17" s="62"/>
      <c r="CD17" s="62"/>
      <c r="CE17" s="62"/>
      <c r="CF17" s="62"/>
      <c r="CG17" s="62"/>
      <c r="CH17" s="62"/>
      <c r="CI17" s="62"/>
      <c r="CJ17" s="62"/>
      <c r="CK17" s="63"/>
    </row>
    <row r="18" spans="2:89" x14ac:dyDescent="0.3">
      <c r="B18" s="61"/>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3"/>
      <c r="BL18" s="61"/>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3"/>
    </row>
    <row r="19" spans="2:89" x14ac:dyDescent="0.3">
      <c r="B19" s="61"/>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3"/>
      <c r="BL19" s="61"/>
      <c r="BM19" s="62"/>
      <c r="BN19" s="62"/>
      <c r="BO19" s="62"/>
      <c r="BP19" s="62"/>
      <c r="BQ19" s="62"/>
      <c r="BR19" s="62"/>
      <c r="BS19" s="62"/>
      <c r="BT19" s="62"/>
      <c r="BU19" s="62"/>
      <c r="BV19" s="62"/>
      <c r="BW19" s="62"/>
      <c r="BX19" s="62"/>
      <c r="BY19" s="62"/>
      <c r="BZ19" s="62"/>
      <c r="CA19" s="62"/>
      <c r="CB19" s="62"/>
      <c r="CC19" s="62"/>
      <c r="CD19" s="62"/>
      <c r="CE19" s="62"/>
      <c r="CF19" s="62"/>
      <c r="CG19" s="62"/>
      <c r="CH19" s="62"/>
      <c r="CI19" s="62"/>
      <c r="CJ19" s="62"/>
      <c r="CK19" s="63"/>
    </row>
    <row r="20" spans="2:89" x14ac:dyDescent="0.3">
      <c r="B20" s="61"/>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3"/>
      <c r="BL20" s="61"/>
      <c r="BM20" s="62"/>
      <c r="BN20" s="62"/>
      <c r="BO20" s="62"/>
      <c r="BP20" s="62"/>
      <c r="BQ20" s="62"/>
      <c r="BR20" s="62"/>
      <c r="BS20" s="62"/>
      <c r="BT20" s="62"/>
      <c r="BU20" s="62"/>
      <c r="BV20" s="62"/>
      <c r="BW20" s="62"/>
      <c r="BX20" s="62"/>
      <c r="BY20" s="62"/>
      <c r="BZ20" s="62"/>
      <c r="CA20" s="62"/>
      <c r="CB20" s="62"/>
      <c r="CC20" s="62"/>
      <c r="CD20" s="62"/>
      <c r="CE20" s="62"/>
      <c r="CF20" s="62"/>
      <c r="CG20" s="62"/>
      <c r="CH20" s="62"/>
      <c r="CI20" s="62"/>
      <c r="CJ20" s="62"/>
      <c r="CK20" s="63"/>
    </row>
    <row r="21" spans="2:89" x14ac:dyDescent="0.3">
      <c r="B21" s="61"/>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3"/>
      <c r="BL21" s="61"/>
      <c r="BM21" s="62"/>
      <c r="BN21" s="62"/>
      <c r="BO21" s="62"/>
      <c r="BP21" s="62"/>
      <c r="BQ21" s="62"/>
      <c r="BR21" s="62"/>
      <c r="BS21" s="62"/>
      <c r="BT21" s="62"/>
      <c r="BU21" s="62"/>
      <c r="BV21" s="62"/>
      <c r="BW21" s="62"/>
      <c r="BX21" s="62"/>
      <c r="BY21" s="62"/>
      <c r="BZ21" s="62"/>
      <c r="CA21" s="62"/>
      <c r="CB21" s="62"/>
      <c r="CC21" s="62"/>
      <c r="CD21" s="62"/>
      <c r="CE21" s="62"/>
      <c r="CF21" s="62"/>
      <c r="CG21" s="62"/>
      <c r="CH21" s="62"/>
      <c r="CI21" s="62"/>
      <c r="CJ21" s="62"/>
      <c r="CK21" s="63"/>
    </row>
    <row r="22" spans="2:89" x14ac:dyDescent="0.3">
      <c r="B22" s="61"/>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3"/>
      <c r="BL22" s="61"/>
      <c r="BM22" s="62"/>
      <c r="BN22" s="62"/>
      <c r="BO22" s="62"/>
      <c r="BP22" s="62"/>
      <c r="BQ22" s="62"/>
      <c r="BR22" s="62"/>
      <c r="BS22" s="62"/>
      <c r="BT22" s="62"/>
      <c r="BU22" s="62"/>
      <c r="BV22" s="62"/>
      <c r="BW22" s="62"/>
      <c r="BX22" s="62"/>
      <c r="BY22" s="62"/>
      <c r="BZ22" s="62"/>
      <c r="CA22" s="62"/>
      <c r="CB22" s="62"/>
      <c r="CC22" s="62"/>
      <c r="CD22" s="62"/>
      <c r="CE22" s="62"/>
      <c r="CF22" s="62"/>
      <c r="CG22" s="62"/>
      <c r="CH22" s="62"/>
      <c r="CI22" s="62"/>
      <c r="CJ22" s="62"/>
      <c r="CK22" s="63"/>
    </row>
    <row r="23" spans="2:89" x14ac:dyDescent="0.3">
      <c r="B23" s="61"/>
      <c r="C23" s="62"/>
      <c r="D23" s="62"/>
      <c r="E23" s="62"/>
      <c r="F23" s="62"/>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3"/>
      <c r="BL23" s="61"/>
      <c r="BM23" s="62"/>
      <c r="BN23" s="62"/>
      <c r="BO23" s="62"/>
      <c r="BP23" s="62"/>
      <c r="BQ23" s="62"/>
      <c r="BR23" s="62"/>
      <c r="BS23" s="62"/>
      <c r="BT23" s="62"/>
      <c r="BU23" s="62"/>
      <c r="BV23" s="62"/>
      <c r="BW23" s="62"/>
      <c r="BX23" s="62"/>
      <c r="BY23" s="62"/>
      <c r="BZ23" s="62"/>
      <c r="CA23" s="62"/>
      <c r="CB23" s="62"/>
      <c r="CC23" s="62"/>
      <c r="CD23" s="62"/>
      <c r="CE23" s="62"/>
      <c r="CF23" s="62"/>
      <c r="CG23" s="62"/>
      <c r="CH23" s="62"/>
      <c r="CI23" s="62"/>
      <c r="CJ23" s="62"/>
      <c r="CK23" s="63"/>
    </row>
    <row r="24" spans="2:89" x14ac:dyDescent="0.3">
      <c r="B24" s="61"/>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3"/>
      <c r="BL24" s="61"/>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3"/>
    </row>
    <row r="25" spans="2:89" x14ac:dyDescent="0.3">
      <c r="B25" s="61"/>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3"/>
      <c r="BL25" s="61"/>
      <c r="BM25" s="62"/>
      <c r="BN25" s="62"/>
      <c r="BO25" s="62"/>
      <c r="BP25" s="62"/>
      <c r="BQ25" s="62"/>
      <c r="BR25" s="62"/>
      <c r="BS25" s="62"/>
      <c r="BT25" s="62"/>
      <c r="BU25" s="62"/>
      <c r="BV25" s="62"/>
      <c r="BW25" s="62"/>
      <c r="BX25" s="62"/>
      <c r="BY25" s="62"/>
      <c r="BZ25" s="62"/>
      <c r="CA25" s="62"/>
      <c r="CB25" s="62"/>
      <c r="CC25" s="62"/>
      <c r="CD25" s="62"/>
      <c r="CE25" s="62"/>
      <c r="CF25" s="62"/>
      <c r="CG25" s="62"/>
      <c r="CH25" s="62"/>
      <c r="CI25" s="62"/>
      <c r="CJ25" s="62"/>
      <c r="CK25" s="63"/>
    </row>
    <row r="26" spans="2:89" x14ac:dyDescent="0.3">
      <c r="B26" s="61"/>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3"/>
      <c r="BL26" s="61"/>
      <c r="BM26" s="62"/>
      <c r="BN26" s="62"/>
      <c r="BO26" s="62"/>
      <c r="BP26" s="62"/>
      <c r="BQ26" s="62"/>
      <c r="BR26" s="62"/>
      <c r="BS26" s="62"/>
      <c r="BT26" s="62"/>
      <c r="BU26" s="62"/>
      <c r="BV26" s="62"/>
      <c r="BW26" s="62"/>
      <c r="BX26" s="62"/>
      <c r="BY26" s="62"/>
      <c r="BZ26" s="62"/>
      <c r="CA26" s="62"/>
      <c r="CB26" s="62"/>
      <c r="CC26" s="62"/>
      <c r="CD26" s="62"/>
      <c r="CE26" s="62"/>
      <c r="CF26" s="62"/>
      <c r="CG26" s="62"/>
      <c r="CH26" s="62"/>
      <c r="CI26" s="62"/>
      <c r="CJ26" s="62"/>
      <c r="CK26" s="63"/>
    </row>
    <row r="27" spans="2:89" ht="15" customHeight="1" thickBot="1" x14ac:dyDescent="0.35">
      <c r="B27" s="64"/>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6"/>
      <c r="BL27" s="64"/>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6"/>
    </row>
    <row r="29" spans="2:89" x14ac:dyDescent="0.3">
      <c r="C29" s="45" t="s">
        <v>103</v>
      </c>
      <c r="D29" s="45"/>
      <c r="E29" s="45"/>
      <c r="F29" s="45"/>
      <c r="G29" s="46" t="s">
        <v>103</v>
      </c>
      <c r="H29" s="47"/>
      <c r="I29" s="47"/>
      <c r="J29" s="47"/>
      <c r="K29" s="47"/>
      <c r="L29" s="46" t="s">
        <v>104</v>
      </c>
      <c r="M29" s="47"/>
      <c r="N29" s="47"/>
      <c r="O29" s="47"/>
      <c r="P29" s="47"/>
      <c r="Q29" s="46" t="s">
        <v>105</v>
      </c>
      <c r="R29" s="48"/>
      <c r="S29" s="48"/>
      <c r="T29" s="48"/>
      <c r="U29" s="48"/>
      <c r="V29" s="45" t="s">
        <v>106</v>
      </c>
      <c r="W29" s="48"/>
      <c r="X29" s="48"/>
      <c r="Y29" s="48"/>
      <c r="Z29" s="48"/>
      <c r="AA29" s="45" t="s">
        <v>107</v>
      </c>
      <c r="AB29" s="48"/>
      <c r="AC29" s="48"/>
      <c r="AD29" s="48"/>
      <c r="AE29" s="48"/>
      <c r="AF29" s="45" t="s">
        <v>108</v>
      </c>
      <c r="AG29" s="45"/>
      <c r="AH29" s="45"/>
      <c r="AI29" s="45"/>
      <c r="AJ29" s="45"/>
      <c r="AK29" s="45"/>
      <c r="AL29" s="45"/>
      <c r="AM29" s="45"/>
      <c r="AN29" s="45"/>
      <c r="AO29" s="45" t="s">
        <v>91</v>
      </c>
      <c r="AP29" s="45"/>
      <c r="AX29" s="45" t="s">
        <v>92</v>
      </c>
    </row>
    <row r="30" spans="2:89" ht="18" customHeight="1" x14ac:dyDescent="0.35">
      <c r="B30" s="49" t="s">
        <v>90</v>
      </c>
      <c r="C30" s="45" t="s">
        <v>94</v>
      </c>
      <c r="D30" s="45" t="s">
        <v>93</v>
      </c>
      <c r="E30" s="45" t="s">
        <v>109</v>
      </c>
      <c r="F30" s="45" t="s">
        <v>96</v>
      </c>
      <c r="G30" s="47" t="s">
        <v>110</v>
      </c>
      <c r="H30" s="46" t="s">
        <v>94</v>
      </c>
      <c r="I30" s="46" t="s">
        <v>93</v>
      </c>
      <c r="J30" s="46" t="s">
        <v>109</v>
      </c>
      <c r="K30" s="46" t="s">
        <v>96</v>
      </c>
      <c r="L30" s="47" t="s">
        <v>110</v>
      </c>
      <c r="M30" s="46" t="s">
        <v>94</v>
      </c>
      <c r="N30" s="46" t="s">
        <v>93</v>
      </c>
      <c r="O30" s="46" t="s">
        <v>109</v>
      </c>
      <c r="P30" s="46" t="s">
        <v>96</v>
      </c>
      <c r="Q30" s="47" t="s">
        <v>110</v>
      </c>
      <c r="R30" s="46" t="s">
        <v>94</v>
      </c>
      <c r="S30" s="46" t="s">
        <v>93</v>
      </c>
      <c r="T30" s="46" t="s">
        <v>109</v>
      </c>
      <c r="U30" s="46" t="s">
        <v>96</v>
      </c>
      <c r="V30" s="47" t="s">
        <v>110</v>
      </c>
      <c r="W30" s="46" t="s">
        <v>94</v>
      </c>
      <c r="X30" s="46" t="s">
        <v>93</v>
      </c>
      <c r="Y30" s="46" t="s">
        <v>109</v>
      </c>
      <c r="Z30" s="46" t="s">
        <v>96</v>
      </c>
      <c r="AA30" s="47" t="s">
        <v>110</v>
      </c>
      <c r="AB30" s="46" t="s">
        <v>94</v>
      </c>
      <c r="AC30" s="46" t="s">
        <v>93</v>
      </c>
      <c r="AD30" s="46" t="s">
        <v>109</v>
      </c>
      <c r="AE30" s="46" t="s">
        <v>96</v>
      </c>
      <c r="AF30" s="47" t="s">
        <v>110</v>
      </c>
      <c r="AG30" s="47" t="s">
        <v>94</v>
      </c>
      <c r="AH30" s="47" t="s">
        <v>93</v>
      </c>
      <c r="AI30" s="47" t="s">
        <v>109</v>
      </c>
      <c r="AJ30" s="47" t="s">
        <v>96</v>
      </c>
      <c r="AK30" s="47" t="s">
        <v>97</v>
      </c>
      <c r="AL30" s="47" t="s">
        <v>98</v>
      </c>
      <c r="AM30" s="47" t="s">
        <v>111</v>
      </c>
      <c r="AN30" s="47" t="s">
        <v>100</v>
      </c>
      <c r="AO30" s="47" t="s">
        <v>110</v>
      </c>
      <c r="AP30" s="47" t="s">
        <v>94</v>
      </c>
      <c r="AQ30" s="47" t="s">
        <v>93</v>
      </c>
      <c r="AR30" s="47" t="s">
        <v>109</v>
      </c>
      <c r="AS30" s="47" t="s">
        <v>96</v>
      </c>
      <c r="AT30" s="47" t="s">
        <v>97</v>
      </c>
      <c r="AU30" s="47" t="s">
        <v>98</v>
      </c>
      <c r="AV30" s="47" t="s">
        <v>111</v>
      </c>
      <c r="AW30" s="47" t="s">
        <v>100</v>
      </c>
      <c r="AX30" s="47" t="s">
        <v>110</v>
      </c>
    </row>
    <row r="31" spans="2:89" x14ac:dyDescent="0.3">
      <c r="B31" s="50" t="s">
        <v>9</v>
      </c>
      <c r="C31" s="44">
        <f>IF(PMI!$F$25=PMI!$B$43,PMI!B44,IF(PMI!$F$25=PMI!$C$43,PMI!C44,IF(PMI!$F$25=PMI!$D$43,PMI!D44,IF(PMI!$F$25=PMI!$E$43,PMI!E44,1))))</f>
        <v>4</v>
      </c>
      <c r="D31" s="44">
        <f>BNP!C86</f>
        <v>3</v>
      </c>
      <c r="E31" s="44">
        <f>IF('10 yr rate'!$E$24='10 yr rate'!$B$35,'10 yr rate'!$B36,IF('10 yr rate'!$E$24='10 yr rate'!$C$35,'10 yr rate'!$C36,IF('10 yr rate'!$E$24='10 yr rate'!$D$35,'10 yr rate'!$D36,IF('10 yr rate'!$E$24='10 yr rate'!$E$35,'10 yr rate'!$E36,1))))</f>
        <v>4</v>
      </c>
      <c r="F31" s="44">
        <f>IF('CPI(Inflation)'!$E$3='CPI(Inflation)'!$B$33,'CPI(Inflation)'!$B34,IF('CPI(Inflation)'!$E$3='CPI(Inflation)'!$C$33,'CPI(Inflation)'!$C34,IF('CPI(Inflation)'!$E$3='CPI(Inflation)'!$D$33,'CPI(Inflation)'!$D34,IF('CPI(Inflation)'!$E$3='CPI(Inflation)'!$E$33,'CPI(Inflation)'!$E34,1))))</f>
        <v>4</v>
      </c>
      <c r="G31" s="72">
        <f t="shared" ref="G31:G41" si="0">AVERAGE(C31*0.3 + D31*0.2 + E31*0.2 + F31*0.3)</f>
        <v>3.8</v>
      </c>
      <c r="H31" s="51">
        <f>IF(PMI!$F$26=PMI!$B$43,PMI!$B44,IF(PMI!$F$26=PMI!$C$43,PMI!$C44,IF(PMI!$F$26=PMI!$D$43,PMI!$D44,IF(PMI!$F$26=PMI!$E$43,PMI!$E44,1))))</f>
        <v>4</v>
      </c>
      <c r="I31" s="52">
        <f>BNP!D86</f>
        <v>3</v>
      </c>
      <c r="J31" s="51">
        <f>IF('10 yr rate'!$E$25='10 yr rate'!$B$35,'10 yr rate'!$B36,IF('10 yr rate'!$E$25='10 yr rate'!$C$35,'10 yr rate'!$C36,IF('10 yr rate'!$E$25='10 yr rate'!$D$35,'10 yr rate'!$D36,IF('10 yr rate'!$E$25='10 yr rate'!$E$35,'10 yr rate'!$E36,1))))</f>
        <v>4</v>
      </c>
      <c r="K31" s="51">
        <f>IF('CPI(Inflation)'!$E$4='CPI(Inflation)'!$B$33,'CPI(Inflation)'!$B34,IF('CPI(Inflation)'!$E$4='CPI(Inflation)'!$C$33,'CPI(Inflation)'!$C34,IF('CPI(Inflation)'!$E$4='CPI(Inflation)'!$D$33,'CPI(Inflation)'!$D34,IF('CPI(Inflation)'!$E$4='CPI(Inflation)'!$E$33,'CPI(Inflation)'!$E34,1))))</f>
        <v>4</v>
      </c>
      <c r="L31" s="72">
        <f t="shared" ref="L31:L41" si="1">AVERAGE(H31*0.3 + I31*0.2 + J31*0.2 + K31*0.3)</f>
        <v>3.8</v>
      </c>
      <c r="M31" s="51">
        <f>IF(PMI!$F$27=PMI!$B$43,PMI!$B44,IF(PMI!$F$27=PMI!$C$43,PMI!$C44,IF(PMI!$F$27=PMI!$D$43,PMI!$D44,IF(PMI!$F$27=PMI!$E$43,PMI!$E44,1))))</f>
        <v>4</v>
      </c>
      <c r="N31" s="51">
        <f>BNP!E86</f>
        <v>3</v>
      </c>
      <c r="O31" s="51">
        <f>IF('10 yr rate'!$E$26='10 yr rate'!$B$35,'10 yr rate'!$B36,IF('10 yr rate'!$E$26='10 yr rate'!$C$35,'10 yr rate'!$C36,IF('10 yr rate'!$E$26='10 yr rate'!$D$35,'10 yr rate'!$D36,IF('10 yr rate'!$E$26='10 yr rate'!$E$35,'10 yr rate'!$E36,1))))</f>
        <v>4</v>
      </c>
      <c r="P31" s="51">
        <f>IF('CPI(Inflation)'!$E$5='CPI(Inflation)'!$B$33,'CPI(Inflation)'!$B34,IF('CPI(Inflation)'!$E$5='CPI(Inflation)'!$C$33,'CPI(Inflation)'!$C34,IF('CPI(Inflation)'!$E$5='CPI(Inflation)'!$D$33,'CPI(Inflation)'!$D34,IF('CPI(Inflation)'!$E$5='CPI(Inflation)'!$E$33,'CPI(Inflation)'!$E34,1))))</f>
        <v>1</v>
      </c>
      <c r="Q31" s="72">
        <f t="shared" ref="Q31:Q41" si="2">AVERAGE(M31*0.3 + N31*0.2 + O31*0.2 + P31*0.3)</f>
        <v>2.9</v>
      </c>
      <c r="R31" s="51">
        <f>IF(PMI!$F$28=PMI!$B$43,PMI!$B44,IF(PMI!$F$28=PMI!$C$43,PMI!$C44,IF(PMI!$F$28=PMI!$D$43,PMI!$D44,IF(PMI!$F$28=PMI!$E$43,PMI!$E44,1))))</f>
        <v>4</v>
      </c>
      <c r="S31" s="51">
        <f>BNP!F86</f>
        <v>3</v>
      </c>
      <c r="T31" s="51">
        <f>IF('10 yr rate'!$E$27='10 yr rate'!$B$35,'10 yr rate'!$B36,IF('10 yr rate'!$E$27='10 yr rate'!$C$35,'10 yr rate'!$C36,IF('10 yr rate'!$E$27='10 yr rate'!$D$35,'10 yr rate'!$D36,IF('10 yr rate'!$E$27='10 yr rate'!$E$35,'10 yr rate'!$E36,1))))</f>
        <v>4</v>
      </c>
      <c r="U31" s="51">
        <f>IF('CPI(Inflation)'!$E$6='CPI(Inflation)'!$B$33,'CPI(Inflation)'!$B34,IF('CPI(Inflation)'!$E$6='CPI(Inflation)'!$C$33,'CPI(Inflation)'!$C34,IF('CPI(Inflation)'!$E$6='CPI(Inflation)'!$D$33,'CPI(Inflation)'!$D34,IF('CPI(Inflation)'!$E$6='CPI(Inflation)'!$E$33,'CPI(Inflation)'!$E34,1))))</f>
        <v>4</v>
      </c>
      <c r="V31" s="72">
        <f t="shared" ref="V31:V41" si="3">AVERAGE(R31*0.3 + S31*0.2 + T31*0.2 + U31*0.3)</f>
        <v>3.8</v>
      </c>
      <c r="W31" s="51">
        <f>IF(PMI!$F$29=PMI!$B$43,PMI!$B44,IF(PMI!$F$29=PMI!$C$43,PMI!$C44,IF(PMI!$F$29=PMI!$D$43,PMI!$D44,IF(PMI!$F$29=PMI!$E$43,PMI!$E44,1))))</f>
        <v>4</v>
      </c>
      <c r="X31" s="51">
        <f>BNP!G86</f>
        <v>2</v>
      </c>
      <c r="Y31" s="51">
        <f>IF('10 yr rate'!$E$28='10 yr rate'!$B$35,'10 yr rate'!$B36,IF('10 yr rate'!$E$28='10 yr rate'!$C$35,'10 yr rate'!$C36,IF('10 yr rate'!$E$28='10 yr rate'!$D$35,'10 yr rate'!$D36,IF('10 yr rate'!$E$28='10 yr rate'!$E$35,'10 yr rate'!$E36,1))))</f>
        <v>4</v>
      </c>
      <c r="Z31" s="51">
        <f>IF('CPI(Inflation)'!$E$7='CPI(Inflation)'!$B$33,'CPI(Inflation)'!$B34,IF('CPI(Inflation)'!$E$7='CPI(Inflation)'!$C$33,'CPI(Inflation)'!$C34,IF('CPI(Inflation)'!$E$7='CPI(Inflation)'!$D$33,'CPI(Inflation)'!$D34,IF('CPI(Inflation)'!$E$7='CPI(Inflation)'!$E$33,'CPI(Inflation)'!$E34,1))))</f>
        <v>4</v>
      </c>
      <c r="AA31" s="72">
        <f t="shared" ref="AA31:AA41" si="4">AVERAGE(W31*0.3 + X31*0.2 + Y31*0.2 + Z31*0.3)</f>
        <v>3.6000000000000005</v>
      </c>
      <c r="AB31" s="51">
        <f>IF(PMI!$F$30=PMI!$B$43,PMI!$B44,IF(PMI!$F$30=PMI!$C$43,PMI!$C44,IF(PMI!$F$30=PMI!$D$43,PMI!$D44,IF(PMI!$F$30=PMI!$E$43,PMI!$E44,1))))</f>
        <v>4</v>
      </c>
      <c r="AC31" s="51">
        <f>BNP!H86</f>
        <v>4</v>
      </c>
      <c r="AD31" s="51">
        <f>IF('10 yr rate'!$E$29='10 yr rate'!$B$35,'10 yr rate'!$B36,IF('10 yr rate'!$E$29='10 yr rate'!$C$35,'10 yr rate'!$C36,IF('10 yr rate'!$E$29='10 yr rate'!$D$35,'10 yr rate'!$D36,IF('10 yr rate'!$E$29='10 yr rate'!$E$35,'10 yr rate'!$E36,1))))</f>
        <v>4</v>
      </c>
      <c r="AE31" s="51">
        <f>IF('CPI(Inflation)'!$E$8='CPI(Inflation)'!$B$33,'CPI(Inflation)'!$B34,IF('CPI(Inflation)'!$E$8='CPI(Inflation)'!$C$33,'CPI(Inflation)'!$C34,IF('CPI(Inflation)'!$E$8='CPI(Inflation)'!$D$33,'CPI(Inflation)'!$D34,IF('CPI(Inflation)'!$E$8='CPI(Inflation)'!$E$33,'CPI(Inflation)'!$E34,1))))</f>
        <v>4</v>
      </c>
      <c r="AF31" s="72">
        <f t="shared" ref="AF31:AF41" si="5">AVERAGE(AB31*0.3 + AC31*0.2 + AD31*0.2 + AE31*0.3)</f>
        <v>4</v>
      </c>
      <c r="AG31" s="85">
        <f>IF(PMI!$F$31=PMI!$B$43,PMI!$B44,IF(PMI!$F$31=PMI!$C$43,PMI!$C44,IF(PMI!$F$31=PMI!$D$43,PMI!$D44,IF(PMI!$F$31=PMI!$E$43,PMI!$E44,1))))</f>
        <v>4</v>
      </c>
      <c r="AH31" s="86">
        <f>BNP!I86</f>
        <v>3</v>
      </c>
      <c r="AI31" s="86">
        <f>IF('10 yr rate'!$E$30='10 yr rate'!$B$35,'10 yr rate'!$B36,IF('10 yr rate'!$E$30='10 yr rate'!$C$35,'10 yr rate'!$C36,IF('10 yr rate'!$E$30='10 yr rate'!$D$35,'10 yr rate'!$D36,IF('10 yr rate'!$E$30='10 yr rate'!$E$35,'10 yr rate'!$E36,1))))</f>
        <v>4</v>
      </c>
      <c r="AJ31" s="86">
        <f>IF('CPI(Inflation)'!$E$9='CPI(Inflation)'!$B$33,'CPI(Inflation)'!$B34,IF('CPI(Inflation)'!$E$9='CPI(Inflation)'!$C$33,'CPI(Inflation)'!$C34,IF('CPI(Inflation)'!$E$9='CPI(Inflation)'!$D$33,'CPI(Inflation)'!$D34,IF('CPI(Inflation)'!$E$9='CPI(Inflation)'!$E$33,'CPI(Inflation)'!$E34,1))))</f>
        <v>4</v>
      </c>
      <c r="AK31" s="86">
        <f>'Baltic Dry Index'!B34</f>
        <v>4</v>
      </c>
      <c r="AL31" s="86">
        <f>IF(VIX!$F$25=VIX!$B$33,VIX!B34,IF(VIX!$F$25=VIX!$C$33,VIX!C34,IF(VIX!$F$25=VIX!$D$33,VIX!D34,IF(VIX!$F$25=VIX!$E$33,VIX!E34,1))))</f>
        <v>4</v>
      </c>
      <c r="AM31" s="86">
        <f>IF(Currency!$F$25=Currency!$B$33,Currency!B34,IF(Currency!$F$25=Currency!$C$33,Currency!C34,IF(Currency!$F$25=Currency!$D$33,Currency!D34,IF(Currency!$F$25=Currency!$E$33,Currency!E34,1))))</f>
        <v>2</v>
      </c>
      <c r="AN31" s="86">
        <f>IF(Unemployment!$F$25=Unemployment!$B$33,Unemployment!B34,IF(Unemployment!$F$25=Unemployment!$C$33,Unemployment!C34,IF(Unemployment!$F$25=Unemployment!$D$33,Unemployment!D34,IF(Unemployment!$F$25=Unemployment!$E$33,Unemployment!E34,1))))</f>
        <v>4</v>
      </c>
      <c r="AO31" s="72">
        <f>AVERAGE(AG31*0.2222 + AH31*0.1944 + AI31*0.1667 + AJ31*0.1389 + AK31*0.0556 + AL31*0.0556 + AM31*0.0556 + AN31*0.1111)</f>
        <v>3.6947999999999999</v>
      </c>
      <c r="AP31" s="85">
        <f>IF(PMI!$F$32=PMI!$B$43,PMI!$B44,IF(PMI!$F$32=PMI!$C$43,PMI!$C44,IF(PMI!$F$32=PMI!$D$43,PMI!$D44,IF(PMI!$F$32=PMI!$E$43,PMI!$E44,1))))</f>
        <v>4</v>
      </c>
      <c r="AQ31" s="86">
        <f>BNP!J86</f>
        <v>3</v>
      </c>
      <c r="AR31" s="86">
        <f>IF('10 yr rate'!$E$31='10 yr rate'!$B$35,'10 yr rate'!$B36,IF('10 yr rate'!$E$31='10 yr rate'!$C$35,'10 yr rate'!$C36,IF('10 yr rate'!$E$31='10 yr rate'!$D$35,'10 yr rate'!$D36,IF('10 yr rate'!$E$31='10 yr rate'!$E$35,'10 yr rate'!$E36,1))))</f>
        <v>4</v>
      </c>
      <c r="AS31" s="86">
        <f>IF('CPI(Inflation)'!$E$10='CPI(Inflation)'!$B$33,'CPI(Inflation)'!$B34,IF('CPI(Inflation)'!$E$10='CPI(Inflation)'!$C$33,'CPI(Inflation)'!$C34,IF('CPI(Inflation)'!$E$10='CPI(Inflation)'!$D$33,'CPI(Inflation)'!$D34,IF('CPI(Inflation)'!$E$10='CPI(Inflation)'!$E$33,'CPI(Inflation)'!$E34,1))))</f>
        <v>4</v>
      </c>
      <c r="AT31" s="86">
        <f>'Baltic Dry Index'!B34</f>
        <v>4</v>
      </c>
      <c r="AU31" s="86">
        <f>IF(VIX!$F$26=VIX!$B$33,VIX!B34,IF(VIX!$F$26=VIX!$C$33,VIX!C34,IF(VIX!$F$26=VIX!$D$33,VIX!D34,IF(VIX!$F$26=VIX!$E$33,VIX!E34,1))))</f>
        <v>1</v>
      </c>
      <c r="AV31" s="86">
        <f>IF(Currency!$F$26=Currency!$B$33,Currency!B34,IF(Currency!$F$26=Currency!$C$33,Currency!C34,IF(Currency!$F$26=Currency!$D$33,Currency!D34,IF(Currency!$F$26=Currency!$E$33,Currency!E34,1))))</f>
        <v>4</v>
      </c>
      <c r="AW31" s="86">
        <f>IF(Unemployment!$F$26=Unemployment!$B$33,Unemployment!B34,IF(Unemployment!$F$26=Unemployment!$C$33,Unemployment!C34,IF(Unemployment!$F$26=Unemployment!$D$33,Unemployment!D34,IF(Unemployment!$F$26=Unemployment!$E$33,Unemployment!E34,1))))</f>
        <v>4</v>
      </c>
      <c r="AX31" s="72">
        <f>AVERAGE(AP31*0.2222 + AQ31*0.1944 + AR31*0.1667 + AS31*0.1389 + AT31*0.0556 + AU31*0.0556 + AV31*0.0556 + AW31*0.1111)</f>
        <v>3.6391999999999998</v>
      </c>
    </row>
    <row r="32" spans="2:89" x14ac:dyDescent="0.3">
      <c r="B32" s="53" t="s">
        <v>10</v>
      </c>
      <c r="C32" s="44">
        <f>IF(PMI!$F$25=PMI!$B$43,PMI!B45,IF(PMI!$F$25=PMI!$C$43,PMI!C45,IF(PMI!$F$25=PMI!$D$43,PMI!D45,IF(PMI!$F$25=PMI!$E$43,PMI!E45,1))))</f>
        <v>5</v>
      </c>
      <c r="D32" s="44">
        <f>BNP!C91</f>
        <v>3</v>
      </c>
      <c r="E32" s="44">
        <f>IF('10 yr rate'!$E$24='10 yr rate'!$B$35,'10 yr rate'!B37,IF('10 yr rate'!$E$24='10 yr rate'!$C$35,'10 yr rate'!C37,IF('10 yr rate'!$E$24='10 yr rate'!$D$35,'10 yr rate'!D37,IF('10 yr rate'!$E$24='10 yr rate'!$E$35,'10 yr rate'!E37,1))))</f>
        <v>5</v>
      </c>
      <c r="F32" s="44">
        <f>IF('CPI(Inflation)'!$E$3='CPI(Inflation)'!$B$33,'CPI(Inflation)'!B35,IF('CPI(Inflation)'!$E$3='CPI(Inflation)'!$C$33,'CPI(Inflation)'!C35,IF('CPI(Inflation)'!$E$3='CPI(Inflation)'!$D$33,'CPI(Inflation)'!D35,IF('CPI(Inflation)'!$E$3='CPI(Inflation)'!$E$33,'CPI(Inflation)'!E35,1))))</f>
        <v>5</v>
      </c>
      <c r="G32" s="73">
        <f t="shared" si="0"/>
        <v>4.5999999999999996</v>
      </c>
      <c r="H32" s="51">
        <f>IF(PMI!$F$26=PMI!$B$43,PMI!$B45,IF(PMI!$F$26=PMI!$C$43,PMI!$C45,IF(PMI!$F$26=PMI!$D$43,PMI!$D45,IF(PMI!$F$26=PMI!$E$43,PMI!$E45,1))))</f>
        <v>5</v>
      </c>
      <c r="I32" s="52">
        <f>BNP!D91</f>
        <v>2</v>
      </c>
      <c r="J32" s="51">
        <f>IF('10 yr rate'!$E$25='10 yr rate'!$B$35,'10 yr rate'!$B37,IF('10 yr rate'!$E$25='10 yr rate'!$C$35,'10 yr rate'!$C37,IF('10 yr rate'!$E$25='10 yr rate'!$D$35,'10 yr rate'!$D37,IF('10 yr rate'!$E$25='10 yr rate'!$E$35,'10 yr rate'!$E37,1))))</f>
        <v>2</v>
      </c>
      <c r="K32" s="51">
        <f>IF('CPI(Inflation)'!$E$4='CPI(Inflation)'!$B$33,'CPI(Inflation)'!$B35,IF('CPI(Inflation)'!$E$4='CPI(Inflation)'!$C$33,'CPI(Inflation)'!$C35,IF('CPI(Inflation)'!$E$4='CPI(Inflation)'!$D$33,'CPI(Inflation)'!$D35,IF('CPI(Inflation)'!$E$4='CPI(Inflation)'!$E$33,'CPI(Inflation)'!$E35,1))))</f>
        <v>5</v>
      </c>
      <c r="L32" s="73">
        <f t="shared" si="1"/>
        <v>3.8</v>
      </c>
      <c r="M32" s="51">
        <f>IF(PMI!$F$27=PMI!$B$43,PMI!$B45,IF(PMI!$F$27=PMI!$C$43,PMI!$C45,IF(PMI!$F$27=PMI!$D$43,PMI!$D45,IF(PMI!$F$27=PMI!$E$43,PMI!$E45,1))))</f>
        <v>5</v>
      </c>
      <c r="N32" s="51">
        <f>BNP!E91</f>
        <v>4</v>
      </c>
      <c r="O32" s="51">
        <f>IF('10 yr rate'!$E$26='10 yr rate'!$B$35,'10 yr rate'!$B37,IF('10 yr rate'!$E$26='10 yr rate'!$C$35,'10 yr rate'!$C37,IF('10 yr rate'!$E$26='10 yr rate'!$D$35,'10 yr rate'!$D37,IF('10 yr rate'!$E$26='10 yr rate'!$E$35,'10 yr rate'!$E37,1))))</f>
        <v>5</v>
      </c>
      <c r="P32" s="51">
        <f>IF('CPI(Inflation)'!$E$5='CPI(Inflation)'!$B$33,'CPI(Inflation)'!$B35,IF('CPI(Inflation)'!$E$5='CPI(Inflation)'!$C$33,'CPI(Inflation)'!$C35,IF('CPI(Inflation)'!$E$5='CPI(Inflation)'!$D$33,'CPI(Inflation)'!$D35,IF('CPI(Inflation)'!$E$5='CPI(Inflation)'!$E$33,'CPI(Inflation)'!$E35,1))))</f>
        <v>1</v>
      </c>
      <c r="Q32" s="73">
        <f t="shared" si="2"/>
        <v>3.5999999999999996</v>
      </c>
      <c r="R32" s="51">
        <f>IF(PMI!$F$28=PMI!$B$43,PMI!$B45,IF(PMI!$F$28=PMI!$C$43,PMI!$C45,IF(PMI!$F$28=PMI!$D$43,PMI!$D45,IF(PMI!$F$28=PMI!$E$43,PMI!$E45,1))))</f>
        <v>5</v>
      </c>
      <c r="S32" s="51">
        <f>BNP!F91</f>
        <v>2</v>
      </c>
      <c r="T32" s="51">
        <f>IF('10 yr rate'!$E$27='10 yr rate'!$B$35,'10 yr rate'!$B37,IF('10 yr rate'!$E$27='10 yr rate'!$C$35,'10 yr rate'!$C37,IF('10 yr rate'!$E$27='10 yr rate'!$D$35,'10 yr rate'!$D37,IF('10 yr rate'!$E$27='10 yr rate'!$E$35,'10 yr rate'!$E37,1))))</f>
        <v>5</v>
      </c>
      <c r="U32" s="51">
        <f>IF('CPI(Inflation)'!$E$6='CPI(Inflation)'!$B$33,'CPI(Inflation)'!$B35,IF('CPI(Inflation)'!$E$6='CPI(Inflation)'!$C$33,'CPI(Inflation)'!$C35,IF('CPI(Inflation)'!$E$6='CPI(Inflation)'!$D$33,'CPI(Inflation)'!$D35,IF('CPI(Inflation)'!$E$6='CPI(Inflation)'!$E$33,'CPI(Inflation)'!$E35,1))))</f>
        <v>5</v>
      </c>
      <c r="V32" s="73">
        <f t="shared" si="3"/>
        <v>4.4000000000000004</v>
      </c>
      <c r="W32" s="51">
        <f>IF(PMI!$F$29=PMI!$B$43,PMI!$B45,IF(PMI!$F$29=PMI!$C$43,PMI!$C45,IF(PMI!$F$29=PMI!$D$43,PMI!$D45,IF(PMI!$F$29=PMI!$E$43,PMI!$E45,1))))</f>
        <v>2</v>
      </c>
      <c r="X32" s="51">
        <f>BNP!G91</f>
        <v>1</v>
      </c>
      <c r="Y32" s="51">
        <f>IF('10 yr rate'!$E$28='10 yr rate'!$B$35,'10 yr rate'!$B37,IF('10 yr rate'!$E$28='10 yr rate'!$C$35,'10 yr rate'!$C37,IF('10 yr rate'!$E$28='10 yr rate'!$D$35,'10 yr rate'!$D37,IF('10 yr rate'!$E$28='10 yr rate'!$E$35,'10 yr rate'!$E37,1))))</f>
        <v>5</v>
      </c>
      <c r="Z32" s="51">
        <f>IF('CPI(Inflation)'!$E$7='CPI(Inflation)'!$B$33,'CPI(Inflation)'!$B35,IF('CPI(Inflation)'!$E$7='CPI(Inflation)'!$C$33,'CPI(Inflation)'!$C35,IF('CPI(Inflation)'!$E$7='CPI(Inflation)'!$D$33,'CPI(Inflation)'!$D35,IF('CPI(Inflation)'!$E$7='CPI(Inflation)'!$E$33,'CPI(Inflation)'!$E35,1))))</f>
        <v>5</v>
      </c>
      <c r="AA32" s="73">
        <f t="shared" si="4"/>
        <v>3.3</v>
      </c>
      <c r="AB32" s="51">
        <f>IF(PMI!$F$30=PMI!$B$43,PMI!$B45,IF(PMI!$F$30=PMI!$C$43,PMI!$C45,IF(PMI!$F$30=PMI!$D$43,PMI!$D45,IF(PMI!$F$30=PMI!$E$43,PMI!$E45,1))))</f>
        <v>5</v>
      </c>
      <c r="AC32" s="51">
        <f>BNP!H91</f>
        <v>5</v>
      </c>
      <c r="AD32" s="51">
        <f>IF('10 yr rate'!$E$29='10 yr rate'!$B$35,'10 yr rate'!$B37,IF('10 yr rate'!$E$29='10 yr rate'!$C$35,'10 yr rate'!$C37,IF('10 yr rate'!$E$29='10 yr rate'!$D$35,'10 yr rate'!$D37,IF('10 yr rate'!$E$29='10 yr rate'!$E$35,'10 yr rate'!$E37,1))))</f>
        <v>5</v>
      </c>
      <c r="AE32" s="51">
        <f>IF('CPI(Inflation)'!$E$8='CPI(Inflation)'!$B$33,'CPI(Inflation)'!$B35,IF('CPI(Inflation)'!$E$8='CPI(Inflation)'!$C$33,'CPI(Inflation)'!$C35,IF('CPI(Inflation)'!$E$8='CPI(Inflation)'!$D$33,'CPI(Inflation)'!$D35,IF('CPI(Inflation)'!$E$8='CPI(Inflation)'!$E$33,'CPI(Inflation)'!$E35,1))))</f>
        <v>5</v>
      </c>
      <c r="AF32" s="73">
        <f t="shared" si="5"/>
        <v>5</v>
      </c>
      <c r="AG32" s="87">
        <f>IF(PMI!$F$31=PMI!$B$43,PMI!$B45,IF(PMI!$F$31=PMI!$C$43,PMI!$C45,IF(PMI!$F$31=PMI!$D$43,PMI!$D45,IF(PMI!$F$31=PMI!$E$43,PMI!$E45,1))))</f>
        <v>2</v>
      </c>
      <c r="AH32" s="51">
        <f>BNP!I91</f>
        <v>2</v>
      </c>
      <c r="AI32" s="51">
        <f>IF('10 yr rate'!$E$30='10 yr rate'!$B$35,'10 yr rate'!$B37,IF('10 yr rate'!$E$30='10 yr rate'!$C$35,'10 yr rate'!$C37,IF('10 yr rate'!$E$30='10 yr rate'!$D$35,'10 yr rate'!$D37,IF('10 yr rate'!$E$30='10 yr rate'!$E$35,'10 yr rate'!$E37,1))))</f>
        <v>2</v>
      </c>
      <c r="AJ32" s="51">
        <f>IF('CPI(Inflation)'!$E$9='CPI(Inflation)'!$B$33,'CPI(Inflation)'!$B35,IF('CPI(Inflation)'!$E$9='CPI(Inflation)'!$C$33,'CPI(Inflation)'!$C35,IF('CPI(Inflation)'!$E$9='CPI(Inflation)'!$D$33,'CPI(Inflation)'!$D35,IF('CPI(Inflation)'!$E$9='CPI(Inflation)'!$E$33,'CPI(Inflation)'!$E35,1))))</f>
        <v>2</v>
      </c>
      <c r="AK32" s="51">
        <f>'Baltic Dry Index'!B35</f>
        <v>5</v>
      </c>
      <c r="AL32" s="51">
        <f>IF(VIX!$F$25=VIX!$B$33,VIX!B35,IF(VIX!$F$25=VIX!$C$33,VIX!C35,IF(VIX!$F$25=VIX!$D$33,VIX!D35,IF(VIX!$F$25=VIX!$E$33,VIX!E35,1))))</f>
        <v>5</v>
      </c>
      <c r="AM32" s="51">
        <f>IF(Currency!$F$25=Currency!$B$33,Currency!B35,IF(Currency!$F$25=Currency!$C$33,Currency!C35,IF(Currency!$F$25=Currency!$D$33,Currency!D35,IF(Currency!$F$25=Currency!$E$33,Currency!E35,1))))</f>
        <v>3</v>
      </c>
      <c r="AN32" s="51">
        <f>IF(Unemployment!$F$25=Unemployment!$B$33,Unemployment!B35,IF(Unemployment!$F$25=Unemployment!$C$33,Unemployment!C35,IF(Unemployment!$F$25=Unemployment!$D$33,Unemployment!D35,IF(Unemployment!$F$25=Unemployment!$E$33,Unemployment!E35,1))))</f>
        <v>5</v>
      </c>
      <c r="AO32" s="90">
        <f t="shared" ref="AO32:AO41" si="6">AVERAGE(AG32*0.2222 + AH32*0.1944 + AI32*0.1667 + AJ32*0.1389 + AK32*0.0556 + AL32*0.0556 + AM32*0.0556 + AN32*0.1111)</f>
        <v>2.7226999999999997</v>
      </c>
      <c r="AP32" s="87">
        <f>IF(PMI!$F$32=PMI!$B$43,PMI!$B45,IF(PMI!$F$32=PMI!$C$43,PMI!$C45,IF(PMI!$F$32=PMI!$D$43,PMI!$D45,IF(PMI!$F$32=PMI!$E$43,PMI!$E45,1))))</f>
        <v>2</v>
      </c>
      <c r="AQ32" s="51">
        <f>BNP!J91</f>
        <v>4</v>
      </c>
      <c r="AR32" s="51">
        <f>IF('10 yr rate'!$E$31='10 yr rate'!$B$35,'10 yr rate'!$B37,IF('10 yr rate'!$E$31='10 yr rate'!$C$35,'10 yr rate'!$C37,IF('10 yr rate'!$E$31='10 yr rate'!$D$35,'10 yr rate'!$D37,IF('10 yr rate'!$E$31='10 yr rate'!$E$35,'10 yr rate'!$E37,1))))</f>
        <v>2</v>
      </c>
      <c r="AS32" s="51">
        <f>IF('CPI(Inflation)'!$E$10='CPI(Inflation)'!$B$33,'CPI(Inflation)'!$B35,IF('CPI(Inflation)'!$E$10='CPI(Inflation)'!$C$33,'CPI(Inflation)'!$C35,IF('CPI(Inflation)'!$E$10='CPI(Inflation)'!$D$33,'CPI(Inflation)'!$D35,IF('CPI(Inflation)'!$E$10='CPI(Inflation)'!$E$33,'CPI(Inflation)'!$E35,1))))</f>
        <v>5</v>
      </c>
      <c r="AT32" s="51">
        <f>'Baltic Dry Index'!B35</f>
        <v>5</v>
      </c>
      <c r="AU32" s="51">
        <f>IF(VIX!$F$26=VIX!$B$33,VIX!B35,IF(VIX!$F$26=VIX!$C$33,VIX!C35,IF(VIX!$F$26=VIX!$D$33,VIX!D35,IF(VIX!$F$26=VIX!$E$33,VIX!E35,1))))</f>
        <v>1</v>
      </c>
      <c r="AV32" s="51">
        <f>IF(Currency!$F$26=Currency!$B$33,Currency!B35,IF(Currency!$F$26=Currency!$C$33,Currency!C35,IF(Currency!$F$26=Currency!$D$33,Currency!D35,IF(Currency!$F$26=Currency!$E$33,Currency!E35,1))))</f>
        <v>2</v>
      </c>
      <c r="AW32" s="51">
        <f>IF(Unemployment!$F$26=Unemployment!$B$33,Unemployment!B35,IF(Unemployment!$F$26=Unemployment!$C$33,Unemployment!C35,IF(Unemployment!$F$26=Unemployment!$D$33,Unemployment!D35,IF(Unemployment!$F$26=Unemployment!$E$33,Unemployment!E35,1))))</f>
        <v>5</v>
      </c>
      <c r="AX32" s="90">
        <f t="shared" ref="AX32:AX41" si="7">AVERAGE(AP32*0.2222 + AQ32*0.1944 + AR32*0.1667 + AS32*0.1389 + AT32*0.0556 + AU32*0.0556 + AV32*0.0556 + AW32*0.1111)</f>
        <v>3.2502</v>
      </c>
    </row>
    <row r="33" spans="2:89" x14ac:dyDescent="0.3">
      <c r="B33" s="53" t="s">
        <v>11</v>
      </c>
      <c r="C33" s="44">
        <f>IF(PMI!$F$25=PMI!$B$43,PMI!B46,IF(PMI!$F$25=PMI!$C$43,PMI!C46,IF(PMI!$F$25=PMI!$D$43,PMI!D46,IF(PMI!$F$25=PMI!$E$43,PMI!E46,1))))</f>
        <v>5</v>
      </c>
      <c r="D33" s="44">
        <f>BNP!C96</f>
        <v>3</v>
      </c>
      <c r="E33" s="44">
        <f>IF('10 yr rate'!$E$24='10 yr rate'!$B$35,'10 yr rate'!B38,IF('10 yr rate'!$E$24='10 yr rate'!$C$35,'10 yr rate'!C38,IF('10 yr rate'!$E$24='10 yr rate'!$D$35,'10 yr rate'!D38,IF('10 yr rate'!$E$24='10 yr rate'!$E$35,'10 yr rate'!E38,1))))</f>
        <v>5</v>
      </c>
      <c r="F33" s="44">
        <f>IF('CPI(Inflation)'!$E$3='CPI(Inflation)'!$B$33,'CPI(Inflation)'!B36,IF('CPI(Inflation)'!$E$3='CPI(Inflation)'!$C$33,'CPI(Inflation)'!C36,IF('CPI(Inflation)'!$E$3='CPI(Inflation)'!$D$33,'CPI(Inflation)'!D36,IF('CPI(Inflation)'!$E$3='CPI(Inflation)'!$E$33,'CPI(Inflation)'!E36,1))))</f>
        <v>5</v>
      </c>
      <c r="G33" s="73">
        <f t="shared" si="0"/>
        <v>4.5999999999999996</v>
      </c>
      <c r="H33" s="51">
        <f>IF(PMI!$F$26=PMI!$B$43,PMI!$B46,IF(PMI!$F$26=PMI!$C$43,PMI!$C46,IF(PMI!$F$26=PMI!$D$43,PMI!$D46,IF(PMI!$F$26=PMI!$E$43,PMI!$E46,1))))</f>
        <v>5</v>
      </c>
      <c r="I33" s="52">
        <f>BNP!D96</f>
        <v>3</v>
      </c>
      <c r="J33" s="51">
        <f>IF('10 yr rate'!$E$25='10 yr rate'!$B$35,'10 yr rate'!$B38,IF('10 yr rate'!$E$25='10 yr rate'!$C$35,'10 yr rate'!$C38,IF('10 yr rate'!$E$25='10 yr rate'!$D$35,'10 yr rate'!$D38,IF('10 yr rate'!$E$25='10 yr rate'!$E$35,'10 yr rate'!$E38,1))))</f>
        <v>4</v>
      </c>
      <c r="K33" s="51">
        <f>IF('CPI(Inflation)'!$E$4='CPI(Inflation)'!$B$33,'CPI(Inflation)'!$B36,IF('CPI(Inflation)'!$E$4='CPI(Inflation)'!$C$33,'CPI(Inflation)'!$C36,IF('CPI(Inflation)'!$E$4='CPI(Inflation)'!$D$33,'CPI(Inflation)'!$D36,IF('CPI(Inflation)'!$E$4='CPI(Inflation)'!$E$33,'CPI(Inflation)'!$E36,1))))</f>
        <v>5</v>
      </c>
      <c r="L33" s="73">
        <f t="shared" si="1"/>
        <v>4.4000000000000004</v>
      </c>
      <c r="M33" s="51">
        <f>IF(PMI!$F$27=PMI!$B$43,PMI!$B46,IF(PMI!$F$27=PMI!$C$43,PMI!$C46,IF(PMI!$F$27=PMI!$D$43,PMI!$D46,IF(PMI!$F$27=PMI!$E$43,PMI!$E46,1))))</f>
        <v>5</v>
      </c>
      <c r="N33" s="51">
        <f>BNP!E96</f>
        <v>1</v>
      </c>
      <c r="O33" s="51">
        <f>IF('10 yr rate'!$E$26='10 yr rate'!$B$35,'10 yr rate'!$B38,IF('10 yr rate'!$E$26='10 yr rate'!$C$35,'10 yr rate'!$C38,IF('10 yr rate'!$E$26='10 yr rate'!$D$35,'10 yr rate'!$D38,IF('10 yr rate'!$E$26='10 yr rate'!$E$35,'10 yr rate'!$E38,1))))</f>
        <v>5</v>
      </c>
      <c r="P33" s="51">
        <f>IF('CPI(Inflation)'!$E$5='CPI(Inflation)'!$B$33,'CPI(Inflation)'!$B36,IF('CPI(Inflation)'!$E$5='CPI(Inflation)'!$C$33,'CPI(Inflation)'!$C36,IF('CPI(Inflation)'!$E$5='CPI(Inflation)'!$D$33,'CPI(Inflation)'!$D36,IF('CPI(Inflation)'!$E$5='CPI(Inflation)'!$E$33,'CPI(Inflation)'!$E36,1))))</f>
        <v>1</v>
      </c>
      <c r="Q33" s="73">
        <f t="shared" si="2"/>
        <v>3</v>
      </c>
      <c r="R33" s="51">
        <f>IF(PMI!$F$28=PMI!$B$43,PMI!$B46,IF(PMI!$F$28=PMI!$C$43,PMI!$C46,IF(PMI!$F$28=PMI!$D$43,PMI!$D46,IF(PMI!$F$28=PMI!$E$43,PMI!$E46,1))))</f>
        <v>5</v>
      </c>
      <c r="S33" s="51">
        <f>BNP!F96</f>
        <v>3</v>
      </c>
      <c r="T33" s="51">
        <f>IF('10 yr rate'!$E$27='10 yr rate'!$B$35,'10 yr rate'!$B38,IF('10 yr rate'!$E$27='10 yr rate'!$C$35,'10 yr rate'!$C38,IF('10 yr rate'!$E$27='10 yr rate'!$D$35,'10 yr rate'!$D38,IF('10 yr rate'!$E$27='10 yr rate'!$E$35,'10 yr rate'!$E38,1))))</f>
        <v>5</v>
      </c>
      <c r="U33" s="51">
        <f>IF('CPI(Inflation)'!$E$6='CPI(Inflation)'!$B$33,'CPI(Inflation)'!$B36,IF('CPI(Inflation)'!$E$6='CPI(Inflation)'!$C$33,'CPI(Inflation)'!$C36,IF('CPI(Inflation)'!$E$6='CPI(Inflation)'!$D$33,'CPI(Inflation)'!$D36,IF('CPI(Inflation)'!$E$6='CPI(Inflation)'!$E$33,'CPI(Inflation)'!$E36,1))))</f>
        <v>5</v>
      </c>
      <c r="V33" s="73">
        <f t="shared" si="3"/>
        <v>4.5999999999999996</v>
      </c>
      <c r="W33" s="51">
        <f>IF(PMI!$F$29=PMI!$B$43,PMI!$B46,IF(PMI!$F$29=PMI!$C$43,PMI!$C46,IF(PMI!$F$29=PMI!$D$43,PMI!$D46,IF(PMI!$F$29=PMI!$E$43,PMI!$E46,1))))</f>
        <v>4</v>
      </c>
      <c r="X33" s="51">
        <f>BNP!G96</f>
        <v>3</v>
      </c>
      <c r="Y33" s="51">
        <f>IF('10 yr rate'!$E$28='10 yr rate'!$B$35,'10 yr rate'!$B38,IF('10 yr rate'!$E$28='10 yr rate'!$C$35,'10 yr rate'!$C38,IF('10 yr rate'!$E$28='10 yr rate'!$D$35,'10 yr rate'!$D38,IF('10 yr rate'!$E$28='10 yr rate'!$E$35,'10 yr rate'!$E38,1))))</f>
        <v>5</v>
      </c>
      <c r="Z33" s="51">
        <f>IF('CPI(Inflation)'!$E$7='CPI(Inflation)'!$B$33,'CPI(Inflation)'!$B36,IF('CPI(Inflation)'!$E$7='CPI(Inflation)'!$C$33,'CPI(Inflation)'!$C36,IF('CPI(Inflation)'!$E$7='CPI(Inflation)'!$D$33,'CPI(Inflation)'!$D36,IF('CPI(Inflation)'!$E$7='CPI(Inflation)'!$E$33,'CPI(Inflation)'!$E36,1))))</f>
        <v>5</v>
      </c>
      <c r="AA33" s="73">
        <f t="shared" si="4"/>
        <v>4.3</v>
      </c>
      <c r="AB33" s="51">
        <f>IF(PMI!$F$30=PMI!$B$43,PMI!$B46,IF(PMI!$F$30=PMI!$C$43,PMI!$C46,IF(PMI!$F$30=PMI!$D$43,PMI!$D46,IF(PMI!$F$30=PMI!$E$43,PMI!$E46,1))))</f>
        <v>5</v>
      </c>
      <c r="AC33" s="51">
        <f>BNP!H96</f>
        <v>5</v>
      </c>
      <c r="AD33" s="51">
        <f>IF('10 yr rate'!$E$29='10 yr rate'!$B$35,'10 yr rate'!$B38,IF('10 yr rate'!$E$29='10 yr rate'!$C$35,'10 yr rate'!$C38,IF('10 yr rate'!$E$29='10 yr rate'!$D$35,'10 yr rate'!$D38,IF('10 yr rate'!$E$29='10 yr rate'!$E$35,'10 yr rate'!$E38,1))))</f>
        <v>5</v>
      </c>
      <c r="AE33" s="51">
        <f>IF('CPI(Inflation)'!$E$8='CPI(Inflation)'!$B$33,'CPI(Inflation)'!$B36,IF('CPI(Inflation)'!$E$8='CPI(Inflation)'!$C$33,'CPI(Inflation)'!$C36,IF('CPI(Inflation)'!$E$8='CPI(Inflation)'!$D$33,'CPI(Inflation)'!$D36,IF('CPI(Inflation)'!$E$8='CPI(Inflation)'!$E$33,'CPI(Inflation)'!$E36,1))))</f>
        <v>5</v>
      </c>
      <c r="AF33" s="73">
        <f t="shared" si="5"/>
        <v>5</v>
      </c>
      <c r="AG33" s="87">
        <f>IF(PMI!$F$31=PMI!$B$43,PMI!$B46,IF(PMI!$F$31=PMI!$C$43,PMI!$C46,IF(PMI!$F$31=PMI!$D$43,PMI!$D46,IF(PMI!$F$31=PMI!$E$43,PMI!$E46,1))))</f>
        <v>4</v>
      </c>
      <c r="AH33" s="51">
        <f>BNP!I96</f>
        <v>3</v>
      </c>
      <c r="AI33" s="51">
        <f>IF('10 yr rate'!$E$30='10 yr rate'!$B$35,'10 yr rate'!$B38,IF('10 yr rate'!$E$30='10 yr rate'!$C$35,'10 yr rate'!$C38,IF('10 yr rate'!$E$30='10 yr rate'!$D$35,'10 yr rate'!$D38,IF('10 yr rate'!$E$30='10 yr rate'!$E$35,'10 yr rate'!$E38,1))))</f>
        <v>4</v>
      </c>
      <c r="AJ33" s="51">
        <f>IF('CPI(Inflation)'!$E$9='CPI(Inflation)'!$B$33,'CPI(Inflation)'!$B36,IF('CPI(Inflation)'!$E$9='CPI(Inflation)'!$C$33,'CPI(Inflation)'!$C36,IF('CPI(Inflation)'!$E$9='CPI(Inflation)'!$D$33,'CPI(Inflation)'!$D36,IF('CPI(Inflation)'!$E$9='CPI(Inflation)'!$E$33,'CPI(Inflation)'!$E36,1))))</f>
        <v>4</v>
      </c>
      <c r="AK33" s="51">
        <f>'Baltic Dry Index'!B36</f>
        <v>5</v>
      </c>
      <c r="AL33" s="51">
        <f>IF(VIX!$F$25=VIX!$B$33,VIX!B36,IF(VIX!$F$25=VIX!$C$33,VIX!C36,IF(VIX!$F$25=VIX!$D$33,VIX!D36,IF(VIX!$F$25=VIX!$E$33,VIX!E36,1))))</f>
        <v>5</v>
      </c>
      <c r="AM33" s="51">
        <f>IF(Currency!$F$25=Currency!$B$33,Currency!B36,IF(Currency!$F$25=Currency!$C$33,Currency!C36,IF(Currency!$F$25=Currency!$D$33,Currency!D36,IF(Currency!$F$25=Currency!$E$33,Currency!E36,1))))</f>
        <v>2</v>
      </c>
      <c r="AN33" s="51">
        <f>IF(Unemployment!$F$25=Unemployment!$B$33,Unemployment!B36,IF(Unemployment!$F$25=Unemployment!$C$33,Unemployment!C36,IF(Unemployment!$F$25=Unemployment!$D$33,Unemployment!D36,IF(Unemployment!$F$25=Unemployment!$E$33,Unemployment!E36,1))))</f>
        <v>5</v>
      </c>
      <c r="AO33" s="90">
        <f t="shared" si="6"/>
        <v>3.9171</v>
      </c>
      <c r="AP33" s="87">
        <f>IF(PMI!$F$32=PMI!$B$43,PMI!$B46,IF(PMI!$F$32=PMI!$C$43,PMI!$C46,IF(PMI!$F$32=PMI!$D$43,PMI!$D46,IF(PMI!$F$32=PMI!$E$43,PMI!$E46,1))))</f>
        <v>4</v>
      </c>
      <c r="AQ33" s="51">
        <f>BNP!J96</f>
        <v>1</v>
      </c>
      <c r="AR33" s="51">
        <f>IF('10 yr rate'!$E$31='10 yr rate'!$B$35,'10 yr rate'!$B38,IF('10 yr rate'!$E$31='10 yr rate'!$C$35,'10 yr rate'!$C38,IF('10 yr rate'!$E$31='10 yr rate'!$D$35,'10 yr rate'!$D38,IF('10 yr rate'!$E$31='10 yr rate'!$E$35,'10 yr rate'!$E38,1))))</f>
        <v>4</v>
      </c>
      <c r="AS33" s="51">
        <f>IF('CPI(Inflation)'!$E$10='CPI(Inflation)'!$B$33,'CPI(Inflation)'!$B36,IF('CPI(Inflation)'!$E$10='CPI(Inflation)'!$C$33,'CPI(Inflation)'!$C36,IF('CPI(Inflation)'!$E$10='CPI(Inflation)'!$D$33,'CPI(Inflation)'!$D36,IF('CPI(Inflation)'!$E$10='CPI(Inflation)'!$E$33,'CPI(Inflation)'!$E36,1))))</f>
        <v>5</v>
      </c>
      <c r="AT33" s="51">
        <f>'Baltic Dry Index'!B36</f>
        <v>5</v>
      </c>
      <c r="AU33" s="51">
        <f>IF(VIX!$F$26=VIX!$B$33,VIX!B36,IF(VIX!$F$26=VIX!$C$33,VIX!C36,IF(VIX!$F$26=VIX!$D$33,VIX!D36,IF(VIX!$F$26=VIX!$E$33,VIX!E36,1))))</f>
        <v>1</v>
      </c>
      <c r="AV33" s="51">
        <f>IF(Currency!$F$26=Currency!$B$33,Currency!B36,IF(Currency!$F$26=Currency!$C$33,Currency!C36,IF(Currency!$F$26=Currency!$D$33,Currency!D36,IF(Currency!$F$26=Currency!$E$33,Currency!E36,1))))</f>
        <v>4</v>
      </c>
      <c r="AW33" s="51">
        <f>IF(Unemployment!$F$26=Unemployment!$B$33,Unemployment!B36,IF(Unemployment!$F$26=Unemployment!$C$33,Unemployment!C36,IF(Unemployment!$F$26=Unemployment!$D$33,Unemployment!D36,IF(Unemployment!$F$26=Unemployment!$E$33,Unemployment!E36,1))))</f>
        <v>5</v>
      </c>
      <c r="AX33" s="90">
        <f t="shared" si="7"/>
        <v>3.556</v>
      </c>
    </row>
    <row r="34" spans="2:89" x14ac:dyDescent="0.3">
      <c r="B34" s="53" t="s">
        <v>12</v>
      </c>
      <c r="C34" s="44">
        <f>IF(PMI!$F$25=PMI!$B$43,PMI!B47,IF(PMI!$F$25=PMI!$C$43,PMI!C47,IF(PMI!$F$25=PMI!$D$43,PMI!D47,IF(PMI!$F$25=PMI!$E$43,PMI!E47,1))))</f>
        <v>4</v>
      </c>
      <c r="D34" s="44">
        <f>BNP!C101</f>
        <v>3</v>
      </c>
      <c r="E34" s="44">
        <f>IF('10 yr rate'!$E$24='10 yr rate'!$B$35,'10 yr rate'!B39,IF('10 yr rate'!$E$24='10 yr rate'!$C$35,'10 yr rate'!C39,IF('10 yr rate'!$E$24='10 yr rate'!$D$35,'10 yr rate'!D39,IF('10 yr rate'!$E$24='10 yr rate'!$E$35,'10 yr rate'!E39,1))))</f>
        <v>4</v>
      </c>
      <c r="F34" s="44">
        <f>IF('CPI(Inflation)'!$E$3='CPI(Inflation)'!$B$33,'CPI(Inflation)'!B37,IF('CPI(Inflation)'!$E$3='CPI(Inflation)'!$C$33,'CPI(Inflation)'!C37,IF('CPI(Inflation)'!$E$3='CPI(Inflation)'!$D$33,'CPI(Inflation)'!D37,IF('CPI(Inflation)'!$E$3='CPI(Inflation)'!$E$33,'CPI(Inflation)'!E37,1))))</f>
        <v>4</v>
      </c>
      <c r="G34" s="73">
        <f t="shared" si="0"/>
        <v>3.8</v>
      </c>
      <c r="H34" s="51">
        <f>IF(PMI!$F$26=PMI!$B$43,PMI!$B47,IF(PMI!$F$26=PMI!$C$43,PMI!$C47,IF(PMI!$F$26=PMI!$D$43,PMI!$D47,IF(PMI!$F$26=PMI!$E$43,PMI!$E47,1))))</f>
        <v>4</v>
      </c>
      <c r="I34" s="52">
        <f>BNP!H101</f>
        <v>4</v>
      </c>
      <c r="J34" s="51">
        <f>IF('10 yr rate'!$E$25='10 yr rate'!$B$35,'10 yr rate'!$B39,IF('10 yr rate'!$E$25='10 yr rate'!$C$35,'10 yr rate'!$C39,IF('10 yr rate'!$E$25='10 yr rate'!$D$35,'10 yr rate'!$D39,IF('10 yr rate'!$E$25='10 yr rate'!$E$35,'10 yr rate'!$E39,1))))</f>
        <v>5</v>
      </c>
      <c r="K34" s="51">
        <f>IF('CPI(Inflation)'!$E$4='CPI(Inflation)'!$B$33,'CPI(Inflation)'!$B37,IF('CPI(Inflation)'!$E$4='CPI(Inflation)'!$C$33,'CPI(Inflation)'!$C37,IF('CPI(Inflation)'!$E$4='CPI(Inflation)'!$D$33,'CPI(Inflation)'!$D37,IF('CPI(Inflation)'!$E$4='CPI(Inflation)'!$E$33,'CPI(Inflation)'!$E37,1))))</f>
        <v>4</v>
      </c>
      <c r="L34" s="73">
        <f t="shared" si="1"/>
        <v>4.2</v>
      </c>
      <c r="M34" s="51">
        <f>IF(PMI!$F$27=PMI!$B$43,PMI!$B47,IF(PMI!$F$27=PMI!$C$43,PMI!$C47,IF(PMI!$F$27=PMI!$D$43,PMI!$D47,IF(PMI!$F$27=PMI!$E$43,PMI!$E47,1))))</f>
        <v>4</v>
      </c>
      <c r="N34" s="51">
        <f>BNP!E101</f>
        <v>2</v>
      </c>
      <c r="O34" s="51">
        <f>IF('10 yr rate'!$E$26='10 yr rate'!$B$35,'10 yr rate'!$B39,IF('10 yr rate'!$E$26='10 yr rate'!$C$35,'10 yr rate'!$C39,IF('10 yr rate'!$E$26='10 yr rate'!$D$35,'10 yr rate'!$D39,IF('10 yr rate'!$E$26='10 yr rate'!$E$35,'10 yr rate'!$E39,1))))</f>
        <v>4</v>
      </c>
      <c r="P34" s="51">
        <f>IF('CPI(Inflation)'!$E$5='CPI(Inflation)'!$B$33,'CPI(Inflation)'!$B37,IF('CPI(Inflation)'!$E$5='CPI(Inflation)'!$C$33,'CPI(Inflation)'!$C37,IF('CPI(Inflation)'!$E$5='CPI(Inflation)'!$D$33,'CPI(Inflation)'!$D37,IF('CPI(Inflation)'!$E$5='CPI(Inflation)'!$E$33,'CPI(Inflation)'!$E37,1))))</f>
        <v>1</v>
      </c>
      <c r="Q34" s="73">
        <f t="shared" si="2"/>
        <v>2.7</v>
      </c>
      <c r="R34" s="51">
        <f>IF(PMI!$F$28=PMI!$B$43,PMI!$B47,IF(PMI!$F$28=PMI!$C$43,PMI!$C47,IF(PMI!$F$28=PMI!$D$43,PMI!$D47,IF(PMI!$F$28=PMI!$E$43,PMI!$E47,1))))</f>
        <v>4</v>
      </c>
      <c r="S34" s="51">
        <f>BNP!F101</f>
        <v>4</v>
      </c>
      <c r="T34" s="51">
        <f>IF('10 yr rate'!$E$27='10 yr rate'!$B$35,'10 yr rate'!$B39,IF('10 yr rate'!$E$27='10 yr rate'!$C$35,'10 yr rate'!$C39,IF('10 yr rate'!$E$27='10 yr rate'!$D$35,'10 yr rate'!$D39,IF('10 yr rate'!$E$27='10 yr rate'!$E$35,'10 yr rate'!$E39,1))))</f>
        <v>4</v>
      </c>
      <c r="U34" s="51">
        <f>IF('CPI(Inflation)'!$E$6='CPI(Inflation)'!$B$33,'CPI(Inflation)'!$B37,IF('CPI(Inflation)'!$E$6='CPI(Inflation)'!$C$33,'CPI(Inflation)'!$C37,IF('CPI(Inflation)'!$E$6='CPI(Inflation)'!$D$33,'CPI(Inflation)'!$D37,IF('CPI(Inflation)'!$E$6='CPI(Inflation)'!$E$33,'CPI(Inflation)'!$E37,1))))</f>
        <v>4</v>
      </c>
      <c r="V34" s="73">
        <f t="shared" si="3"/>
        <v>4</v>
      </c>
      <c r="W34" s="51">
        <f>IF(PMI!$F$29=PMI!$B$43,PMI!$B47,IF(PMI!$F$29=PMI!$C$43,PMI!$C47,IF(PMI!$F$29=PMI!$D$43,PMI!$D47,IF(PMI!$F$29=PMI!$E$43,PMI!$E47,1))))</f>
        <v>5</v>
      </c>
      <c r="X34" s="51">
        <f>BNP!G101</f>
        <v>1</v>
      </c>
      <c r="Y34" s="51">
        <f>IF('10 yr rate'!$E$28='10 yr rate'!$B$35,'10 yr rate'!$B39,IF('10 yr rate'!$E$28='10 yr rate'!$C$35,'10 yr rate'!$C39,IF('10 yr rate'!$E$28='10 yr rate'!$D$35,'10 yr rate'!$D39,IF('10 yr rate'!$E$28='10 yr rate'!$E$35,'10 yr rate'!$E39,1))))</f>
        <v>4</v>
      </c>
      <c r="Z34" s="51">
        <f>IF('CPI(Inflation)'!$E$7='CPI(Inflation)'!$B$33,'CPI(Inflation)'!$B37,IF('CPI(Inflation)'!$E$7='CPI(Inflation)'!$C$33,'CPI(Inflation)'!$C37,IF('CPI(Inflation)'!$E$7='CPI(Inflation)'!$D$33,'CPI(Inflation)'!$D37,IF('CPI(Inflation)'!$E$7='CPI(Inflation)'!$E$33,'CPI(Inflation)'!$E37,1))))</f>
        <v>4</v>
      </c>
      <c r="AA34" s="73">
        <f t="shared" si="4"/>
        <v>3.7</v>
      </c>
      <c r="AB34" s="51">
        <f>IF(PMI!$F$30=PMI!$B$43,PMI!$B47,IF(PMI!$F$30=PMI!$C$43,PMI!$C47,IF(PMI!$F$30=PMI!$D$43,PMI!$D47,IF(PMI!$F$30=PMI!$E$43,PMI!$E47,1))))</f>
        <v>4</v>
      </c>
      <c r="AC34" s="51">
        <f>BNP!H101</f>
        <v>4</v>
      </c>
      <c r="AD34" s="51">
        <f>IF('10 yr rate'!$E$29='10 yr rate'!$B$35,'10 yr rate'!$B39,IF('10 yr rate'!$E$29='10 yr rate'!$C$35,'10 yr rate'!$C39,IF('10 yr rate'!$E$29='10 yr rate'!$D$35,'10 yr rate'!$D39,IF('10 yr rate'!$E$29='10 yr rate'!$E$35,'10 yr rate'!$E39,1))))</f>
        <v>4</v>
      </c>
      <c r="AE34" s="51">
        <f>IF('CPI(Inflation)'!$E$8='CPI(Inflation)'!$B$33,'CPI(Inflation)'!$B37,IF('CPI(Inflation)'!$E$8='CPI(Inflation)'!$C$33,'CPI(Inflation)'!$C37,IF('CPI(Inflation)'!$E$8='CPI(Inflation)'!$D$33,'CPI(Inflation)'!$D37,IF('CPI(Inflation)'!$E$8='CPI(Inflation)'!$E$33,'CPI(Inflation)'!$E37,1))))</f>
        <v>4</v>
      </c>
      <c r="AF34" s="73">
        <f t="shared" si="5"/>
        <v>4</v>
      </c>
      <c r="AG34" s="87">
        <f>IF(PMI!$F$31=PMI!$B$43,PMI!$B47,IF(PMI!$F$31=PMI!$C$43,PMI!$C47,IF(PMI!$F$31=PMI!$D$43,PMI!$D47,IF(PMI!$F$31=PMI!$E$43,PMI!$E47,1))))</f>
        <v>5</v>
      </c>
      <c r="AH34" s="51">
        <f>BNP!I101</f>
        <v>4</v>
      </c>
      <c r="AI34" s="51">
        <f>IF('10 yr rate'!$E$30='10 yr rate'!$B$35,'10 yr rate'!$B39,IF('10 yr rate'!$E$30='10 yr rate'!$C$35,'10 yr rate'!$C39,IF('10 yr rate'!$E$30='10 yr rate'!$D$35,'10 yr rate'!$D39,IF('10 yr rate'!$E$30='10 yr rate'!$E$35,'10 yr rate'!$E39,1))))</f>
        <v>5</v>
      </c>
      <c r="AJ34" s="51">
        <f>IF('CPI(Inflation)'!$E$9='CPI(Inflation)'!$B$33,'CPI(Inflation)'!$B37,IF('CPI(Inflation)'!$E$9='CPI(Inflation)'!$C$33,'CPI(Inflation)'!$C37,IF('CPI(Inflation)'!$E$9='CPI(Inflation)'!$D$33,'CPI(Inflation)'!$D37,IF('CPI(Inflation)'!$E$9='CPI(Inflation)'!$E$33,'CPI(Inflation)'!$E37,1))))</f>
        <v>5</v>
      </c>
      <c r="AK34" s="51">
        <f>'Baltic Dry Index'!B37</f>
        <v>4</v>
      </c>
      <c r="AL34" s="51">
        <f>IF(VIX!$F$25=VIX!$B$33,VIX!B37,IF(VIX!$F$25=VIX!$C$33,VIX!C37,IF(VIX!$F$25=VIX!$D$33,VIX!D37,IF(VIX!$F$25=VIX!$E$33,VIX!E37,1))))</f>
        <v>4</v>
      </c>
      <c r="AM34" s="51">
        <f>IF(Currency!$F$25=Currency!$B$33,Currency!B37,IF(Currency!$F$25=Currency!$C$33,Currency!C37,IF(Currency!$F$25=Currency!$D$33,Currency!D37,IF(Currency!$F$25=Currency!$E$33,Currency!E37,1))))</f>
        <v>3</v>
      </c>
      <c r="AN34" s="51">
        <f>IF(Unemployment!$F$25=Unemployment!$B$33,Unemployment!B37,IF(Unemployment!$F$25=Unemployment!$C$33,Unemployment!C37,IF(Unemployment!$F$25=Unemployment!$D$33,Unemployment!D37,IF(Unemployment!$F$25=Unemployment!$E$33,Unemployment!E37,1))))</f>
        <v>4</v>
      </c>
      <c r="AO34" s="90">
        <f t="shared" si="6"/>
        <v>4.4725999999999999</v>
      </c>
      <c r="AP34" s="87">
        <f>IF(PMI!$F$32=PMI!$B$43,PMI!$B47,IF(PMI!$F$32=PMI!$C$43,PMI!$C47,IF(PMI!$F$32=PMI!$D$43,PMI!$D47,IF(PMI!$F$32=PMI!$E$43,PMI!$E47,1))))</f>
        <v>5</v>
      </c>
      <c r="AQ34" s="51">
        <f>BNP!J101</f>
        <v>2</v>
      </c>
      <c r="AR34" s="51">
        <f>IF('10 yr rate'!$E$31='10 yr rate'!$B$35,'10 yr rate'!$B39,IF('10 yr rate'!$E$31='10 yr rate'!$C$35,'10 yr rate'!$C39,IF('10 yr rate'!$E$31='10 yr rate'!$D$35,'10 yr rate'!$D39,IF('10 yr rate'!$E$31='10 yr rate'!$E$35,'10 yr rate'!$E39,1))))</f>
        <v>5</v>
      </c>
      <c r="AS34" s="51">
        <f>IF('CPI(Inflation)'!$E$10='CPI(Inflation)'!$B$33,'CPI(Inflation)'!$B37,IF('CPI(Inflation)'!$E$10='CPI(Inflation)'!$C$33,'CPI(Inflation)'!$C37,IF('CPI(Inflation)'!$E$10='CPI(Inflation)'!$D$33,'CPI(Inflation)'!$D37,IF('CPI(Inflation)'!$E$10='CPI(Inflation)'!$E$33,'CPI(Inflation)'!$E37,1))))</f>
        <v>4</v>
      </c>
      <c r="AT34" s="51">
        <f>'Baltic Dry Index'!B37</f>
        <v>4</v>
      </c>
      <c r="AU34" s="51">
        <f>IF(VIX!$F$26=VIX!$B$33,VIX!B37,IF(VIX!$F$26=VIX!$C$33,VIX!C37,IF(VIX!$F$26=VIX!$D$33,VIX!D37,IF(VIX!$F$26=VIX!$E$33,VIX!E37,1))))</f>
        <v>1</v>
      </c>
      <c r="AV34" s="51">
        <f>IF(Currency!$F$26=Currency!$B$33,Currency!B37,IF(Currency!$F$26=Currency!$C$33,Currency!C37,IF(Currency!$F$26=Currency!$D$33,Currency!D37,IF(Currency!$F$26=Currency!$E$33,Currency!E37,1))))</f>
        <v>5</v>
      </c>
      <c r="AW34" s="51">
        <f>IF(Unemployment!$F$26=Unemployment!$B$33,Unemployment!B37,IF(Unemployment!$F$26=Unemployment!$C$33,Unemployment!C37,IF(Unemployment!$F$26=Unemployment!$D$33,Unemployment!D37,IF(Unemployment!$F$26=Unemployment!$E$33,Unemployment!E37,1))))</f>
        <v>4</v>
      </c>
      <c r="AX34" s="90">
        <f t="shared" si="7"/>
        <v>3.8893</v>
      </c>
    </row>
    <row r="35" spans="2:89" x14ac:dyDescent="0.3">
      <c r="B35" s="53" t="s">
        <v>13</v>
      </c>
      <c r="C35" s="44">
        <f>IF(PMI!$F$25=PMI!$B$43,PMI!B48,IF(PMI!$F$25=PMI!$C$43,PMI!C48,IF(PMI!$F$25=PMI!$D$43,PMI!D48,IF(PMI!$F$25=PMI!$E$43,PMI!E48,1))))</f>
        <v>5</v>
      </c>
      <c r="D35" s="44">
        <f>BNP!C106</f>
        <v>3</v>
      </c>
      <c r="E35" s="44">
        <f>IF('10 yr rate'!$E$24='10 yr rate'!$B$35,'10 yr rate'!B40,IF('10 yr rate'!$E$24='10 yr rate'!$C$35,'10 yr rate'!C40,IF('10 yr rate'!$E$24='10 yr rate'!$D$35,'10 yr rate'!D40,IF('10 yr rate'!$E$24='10 yr rate'!$E$35,'10 yr rate'!E40,1))))</f>
        <v>5</v>
      </c>
      <c r="F35" s="44">
        <f>IF('CPI(Inflation)'!$E$3='CPI(Inflation)'!$B$33,'CPI(Inflation)'!B38,IF('CPI(Inflation)'!$E$3='CPI(Inflation)'!$C$33,'CPI(Inflation)'!C38,IF('CPI(Inflation)'!$E$3='CPI(Inflation)'!$D$33,'CPI(Inflation)'!D38,IF('CPI(Inflation)'!$E$3='CPI(Inflation)'!$E$33,'CPI(Inflation)'!E38,1))))</f>
        <v>5</v>
      </c>
      <c r="G35" s="73">
        <f t="shared" si="0"/>
        <v>4.5999999999999996</v>
      </c>
      <c r="H35" s="51">
        <f>IF(PMI!$F$26=PMI!$B$43,PMI!$B48,IF(PMI!$F$26=PMI!$C$43,PMI!$C48,IF(PMI!$F$26=PMI!$D$43,PMI!$D48,IF(PMI!$F$26=PMI!$E$43,PMI!$E48,1))))</f>
        <v>5</v>
      </c>
      <c r="I35" s="52">
        <f>BNP!H106</f>
        <v>5</v>
      </c>
      <c r="J35" s="51">
        <f>IF('10 yr rate'!$E$25='10 yr rate'!$B$35,'10 yr rate'!$B40,IF('10 yr rate'!$E$25='10 yr rate'!$C$35,'10 yr rate'!$C40,IF('10 yr rate'!$E$25='10 yr rate'!$D$35,'10 yr rate'!$D40,IF('10 yr rate'!$E$25='10 yr rate'!$E$35,'10 yr rate'!$E40,1))))</f>
        <v>4</v>
      </c>
      <c r="K35" s="51">
        <f>IF('CPI(Inflation)'!$E$4='CPI(Inflation)'!$B$33,'CPI(Inflation)'!$B38,IF('CPI(Inflation)'!$E$4='CPI(Inflation)'!$C$33,'CPI(Inflation)'!$C38,IF('CPI(Inflation)'!$E$4='CPI(Inflation)'!$D$33,'CPI(Inflation)'!$D38,IF('CPI(Inflation)'!$E$4='CPI(Inflation)'!$E$33,'CPI(Inflation)'!$E38,1))))</f>
        <v>5</v>
      </c>
      <c r="L35" s="73">
        <f t="shared" si="1"/>
        <v>4.8</v>
      </c>
      <c r="M35" s="51">
        <f>IF(PMI!$F$27=PMI!$B$43,PMI!$B48,IF(PMI!$F$27=PMI!$C$43,PMI!$C48,IF(PMI!$F$27=PMI!$D$43,PMI!$D48,IF(PMI!$F$27=PMI!$E$43,PMI!$E48,1))))</f>
        <v>5</v>
      </c>
      <c r="N35" s="51">
        <f>BNP!E106</f>
        <v>3</v>
      </c>
      <c r="O35" s="51">
        <f>IF('10 yr rate'!$E$26='10 yr rate'!$B$35,'10 yr rate'!$B40,IF('10 yr rate'!$E$26='10 yr rate'!$C$35,'10 yr rate'!$C40,IF('10 yr rate'!$E$26='10 yr rate'!$D$35,'10 yr rate'!$D40,IF('10 yr rate'!$E$26='10 yr rate'!$E$35,'10 yr rate'!$E40,1))))</f>
        <v>5</v>
      </c>
      <c r="P35" s="51">
        <f>IF('CPI(Inflation)'!$E$5='CPI(Inflation)'!$B$33,'CPI(Inflation)'!$B38,IF('CPI(Inflation)'!$E$5='CPI(Inflation)'!$C$33,'CPI(Inflation)'!$C38,IF('CPI(Inflation)'!$E$5='CPI(Inflation)'!$D$33,'CPI(Inflation)'!$D38,IF('CPI(Inflation)'!$E$5='CPI(Inflation)'!$E$33,'CPI(Inflation)'!$E38,1))))</f>
        <v>1</v>
      </c>
      <c r="Q35" s="73">
        <f t="shared" si="2"/>
        <v>3.4</v>
      </c>
      <c r="R35" s="51">
        <f>IF(PMI!$F$28=PMI!$B$43,PMI!$B48,IF(PMI!$F$28=PMI!$C$43,PMI!$C48,IF(PMI!$F$28=PMI!$D$43,PMI!$D48,IF(PMI!$F$28=PMI!$E$43,PMI!$E48,1))))</f>
        <v>5</v>
      </c>
      <c r="S35" s="51">
        <f>BNP!F106</f>
        <v>3</v>
      </c>
      <c r="T35" s="51">
        <f>IF('10 yr rate'!$E$27='10 yr rate'!$B$35,'10 yr rate'!$B40,IF('10 yr rate'!$E$27='10 yr rate'!$C$35,'10 yr rate'!$C40,IF('10 yr rate'!$E$27='10 yr rate'!$D$35,'10 yr rate'!$D40,IF('10 yr rate'!$E$27='10 yr rate'!$E$35,'10 yr rate'!$E40,1))))</f>
        <v>5</v>
      </c>
      <c r="U35" s="51">
        <f>IF('CPI(Inflation)'!$E$6='CPI(Inflation)'!$B$33,'CPI(Inflation)'!$B38,IF('CPI(Inflation)'!$E$6='CPI(Inflation)'!$C$33,'CPI(Inflation)'!$C38,IF('CPI(Inflation)'!$E$6='CPI(Inflation)'!$D$33,'CPI(Inflation)'!$D38,IF('CPI(Inflation)'!$E$6='CPI(Inflation)'!$E$33,'CPI(Inflation)'!$E38,1))))</f>
        <v>5</v>
      </c>
      <c r="V35" s="73">
        <f t="shared" si="3"/>
        <v>4.5999999999999996</v>
      </c>
      <c r="W35" s="51">
        <f>IF(PMI!$F$29=PMI!$B$43,PMI!$B48,IF(PMI!$F$29=PMI!$C$43,PMI!$C48,IF(PMI!$F$29=PMI!$D$43,PMI!$D48,IF(PMI!$F$29=PMI!$E$43,PMI!$E48,1))))</f>
        <v>4</v>
      </c>
      <c r="X35" s="51">
        <f>BNP!G106</f>
        <v>1</v>
      </c>
      <c r="Y35" s="51">
        <f>IF('10 yr rate'!$E$28='10 yr rate'!$B$35,'10 yr rate'!$B40,IF('10 yr rate'!$E$28='10 yr rate'!$C$35,'10 yr rate'!$C40,IF('10 yr rate'!$E$28='10 yr rate'!$D$35,'10 yr rate'!$D40,IF('10 yr rate'!$E$28='10 yr rate'!$E$35,'10 yr rate'!$E40,1))))</f>
        <v>5</v>
      </c>
      <c r="Z35" s="51">
        <f>IF('CPI(Inflation)'!$E$7='CPI(Inflation)'!$B$33,'CPI(Inflation)'!$B38,IF('CPI(Inflation)'!$E$7='CPI(Inflation)'!$C$33,'CPI(Inflation)'!$C38,IF('CPI(Inflation)'!$E$7='CPI(Inflation)'!$D$33,'CPI(Inflation)'!$D38,IF('CPI(Inflation)'!$E$7='CPI(Inflation)'!$E$33,'CPI(Inflation)'!$E38,1))))</f>
        <v>5</v>
      </c>
      <c r="AA35" s="73">
        <f t="shared" si="4"/>
        <v>3.9</v>
      </c>
      <c r="AB35" s="51">
        <f>IF(PMI!$F$30=PMI!$B$43,PMI!$B48,IF(PMI!$F$30=PMI!$C$43,PMI!$C48,IF(PMI!$F$30=PMI!$D$43,PMI!$D48,IF(PMI!$F$30=PMI!$E$43,PMI!$E48,1))))</f>
        <v>5</v>
      </c>
      <c r="AC35" s="51">
        <f>BNP!H106</f>
        <v>5</v>
      </c>
      <c r="AD35" s="51">
        <f>IF('10 yr rate'!$E$29='10 yr rate'!$B$35,'10 yr rate'!$B40,IF('10 yr rate'!$E$29='10 yr rate'!$C$35,'10 yr rate'!$C40,IF('10 yr rate'!$E$29='10 yr rate'!$D$35,'10 yr rate'!$D40,IF('10 yr rate'!$E$29='10 yr rate'!$E$35,'10 yr rate'!$E40,1))))</f>
        <v>5</v>
      </c>
      <c r="AE35" s="51">
        <f>IF('CPI(Inflation)'!$E$8='CPI(Inflation)'!$B$33,'CPI(Inflation)'!$B38,IF('CPI(Inflation)'!$E$8='CPI(Inflation)'!$C$33,'CPI(Inflation)'!$C38,IF('CPI(Inflation)'!$E$8='CPI(Inflation)'!$D$33,'CPI(Inflation)'!$D38,IF('CPI(Inflation)'!$E$8='CPI(Inflation)'!$E$33,'CPI(Inflation)'!$E38,1))))</f>
        <v>5</v>
      </c>
      <c r="AF35" s="73">
        <f t="shared" si="5"/>
        <v>5</v>
      </c>
      <c r="AG35" s="87">
        <f>IF(PMI!$F$31=PMI!$B$43,PMI!$B48,IF(PMI!$F$31=PMI!$C$43,PMI!$C48,IF(PMI!$F$31=PMI!$D$43,PMI!$D48,IF(PMI!$F$31=PMI!$E$43,PMI!$E48,1))))</f>
        <v>4</v>
      </c>
      <c r="AH35" s="51">
        <f>BNP!I106</f>
        <v>3</v>
      </c>
      <c r="AI35" s="51">
        <f>IF('10 yr rate'!$E$30='10 yr rate'!$B$35,'10 yr rate'!$B40,IF('10 yr rate'!$E$30='10 yr rate'!$C$35,'10 yr rate'!$C40,IF('10 yr rate'!$E$30='10 yr rate'!$D$35,'10 yr rate'!$D40,IF('10 yr rate'!$E$30='10 yr rate'!$E$35,'10 yr rate'!$E40,1))))</f>
        <v>4</v>
      </c>
      <c r="AJ35" s="51">
        <f>IF('CPI(Inflation)'!$E$9='CPI(Inflation)'!$B$33,'CPI(Inflation)'!$B38,IF('CPI(Inflation)'!$E$9='CPI(Inflation)'!$C$33,'CPI(Inflation)'!$C38,IF('CPI(Inflation)'!$E$9='CPI(Inflation)'!$D$33,'CPI(Inflation)'!$D38,IF('CPI(Inflation)'!$E$9='CPI(Inflation)'!$E$33,'CPI(Inflation)'!$E38,1))))</f>
        <v>4</v>
      </c>
      <c r="AK35" s="51">
        <f>'Baltic Dry Index'!B38</f>
        <v>5</v>
      </c>
      <c r="AL35" s="51">
        <f>IF(VIX!$F$25=VIX!$B$33,VIX!B38,IF(VIX!$F$25=VIX!$C$33,VIX!C38,IF(VIX!$F$25=VIX!$D$33,VIX!D38,IF(VIX!$F$25=VIX!$E$33,VIX!E38,1))))</f>
        <v>5</v>
      </c>
      <c r="AM35" s="51">
        <f>IF(Currency!$F$25=Currency!$B$33,Currency!B38,IF(Currency!$F$25=Currency!$C$33,Currency!C38,IF(Currency!$F$25=Currency!$D$33,Currency!D38,IF(Currency!$F$25=Currency!$E$33,Currency!E38,1))))</f>
        <v>2</v>
      </c>
      <c r="AN35" s="51">
        <f>IF(Unemployment!$F$25=Unemployment!$B$33,Unemployment!B38,IF(Unemployment!$F$25=Unemployment!$C$33,Unemployment!C38,IF(Unemployment!$F$25=Unemployment!$D$33,Unemployment!D38,IF(Unemployment!$F$25=Unemployment!$E$33,Unemployment!E38,1))))</f>
        <v>5</v>
      </c>
      <c r="AO35" s="90">
        <f t="shared" si="6"/>
        <v>3.9171</v>
      </c>
      <c r="AP35" s="87">
        <f>IF(PMI!$F$32=PMI!$B$43,PMI!$B48,IF(PMI!$F$32=PMI!$C$43,PMI!$C48,IF(PMI!$F$32=PMI!$D$43,PMI!$D48,IF(PMI!$F$32=PMI!$E$43,PMI!$E48,1))))</f>
        <v>4</v>
      </c>
      <c r="AQ35" s="51">
        <f>BNP!J106</f>
        <v>3</v>
      </c>
      <c r="AR35" s="51">
        <f>IF('10 yr rate'!$E$31='10 yr rate'!$B$35,'10 yr rate'!$B40,IF('10 yr rate'!$E$31='10 yr rate'!$C$35,'10 yr rate'!$C40,IF('10 yr rate'!$E$31='10 yr rate'!$D$35,'10 yr rate'!$D40,IF('10 yr rate'!$E$31='10 yr rate'!$E$35,'10 yr rate'!$E40,1))))</f>
        <v>4</v>
      </c>
      <c r="AS35" s="51">
        <f>IF('CPI(Inflation)'!$E$10='CPI(Inflation)'!$B$33,'CPI(Inflation)'!$B38,IF('CPI(Inflation)'!$E$10='CPI(Inflation)'!$C$33,'CPI(Inflation)'!$C38,IF('CPI(Inflation)'!$E$10='CPI(Inflation)'!$D$33,'CPI(Inflation)'!$D38,IF('CPI(Inflation)'!$E$10='CPI(Inflation)'!$E$33,'CPI(Inflation)'!$E38,1))))</f>
        <v>5</v>
      </c>
      <c r="AT35" s="51">
        <f>'Baltic Dry Index'!B38</f>
        <v>5</v>
      </c>
      <c r="AU35" s="51">
        <f>IF(VIX!$F$26=VIX!$B$33,VIX!B38,IF(VIX!$F$26=VIX!$C$33,VIX!C38,IF(VIX!$F$26=VIX!$D$33,VIX!D38,IF(VIX!$F$26=VIX!$E$33,VIX!E38,1))))</f>
        <v>1</v>
      </c>
      <c r="AV35" s="51">
        <f>IF(Currency!$F$26=Currency!$B$33,Currency!B38,IF(Currency!$F$26=Currency!$C$33,Currency!C38,IF(Currency!$F$26=Currency!$D$33,Currency!D38,IF(Currency!$F$26=Currency!$E$33,Currency!E38,1))))</f>
        <v>4</v>
      </c>
      <c r="AW35" s="51">
        <f>IF(Unemployment!$F$26=Unemployment!$B$33,Unemployment!B38,IF(Unemployment!$F$26=Unemployment!$C$33,Unemployment!C38,IF(Unemployment!$F$26=Unemployment!$D$33,Unemployment!D38,IF(Unemployment!$F$26=Unemployment!$E$33,Unemployment!E38,1))))</f>
        <v>5</v>
      </c>
      <c r="AX35" s="90">
        <f t="shared" si="7"/>
        <v>3.9447999999999999</v>
      </c>
    </row>
    <row r="36" spans="2:89" x14ac:dyDescent="0.3">
      <c r="B36" s="53" t="s">
        <v>14</v>
      </c>
      <c r="C36" s="44">
        <f>IF(PMI!$F$25=PMI!$B$43,PMI!B49,IF(PMI!$F$25=PMI!$C$43,PMI!C49,IF(PMI!$F$25=PMI!$D$43,PMI!D49,IF(PMI!$F$25=PMI!$E$43,PMI!E49,1))))</f>
        <v>4</v>
      </c>
      <c r="D36" s="44">
        <f>BNP!C116</f>
        <v>3</v>
      </c>
      <c r="E36" s="44">
        <f>IF('10 yr rate'!$E$24='10 yr rate'!$B$35,'10 yr rate'!B41,IF('10 yr rate'!$E$24='10 yr rate'!$C$35,'10 yr rate'!C41,IF('10 yr rate'!$E$24='10 yr rate'!$D$35,'10 yr rate'!D41,IF('10 yr rate'!$E$24='10 yr rate'!$E$35,'10 yr rate'!E41,1))))</f>
        <v>4</v>
      </c>
      <c r="F36" s="44">
        <f>IF('CPI(Inflation)'!$E$3='CPI(Inflation)'!$B$33,'CPI(Inflation)'!B39,IF('CPI(Inflation)'!$E$3='CPI(Inflation)'!$C$33,'CPI(Inflation)'!C39,IF('CPI(Inflation)'!$E$3='CPI(Inflation)'!$D$33,'CPI(Inflation)'!D39,IF('CPI(Inflation)'!$E$3='CPI(Inflation)'!$E$33,'CPI(Inflation)'!E39,1))))</f>
        <v>4</v>
      </c>
      <c r="G36" s="73">
        <f t="shared" si="0"/>
        <v>3.8</v>
      </c>
      <c r="H36" s="51">
        <f>IF(PMI!$F$26=PMI!$B$43,PMI!$B49,IF(PMI!$F$26=PMI!$C$43,PMI!$C49,IF(PMI!$F$26=PMI!$D$43,PMI!$D49,IF(PMI!$F$26=PMI!$E$43,PMI!$E49,1))))</f>
        <v>4</v>
      </c>
      <c r="I36" s="52">
        <f>BNP!H116</f>
        <v>3</v>
      </c>
      <c r="J36" s="51">
        <f>IF('10 yr rate'!$E$25='10 yr rate'!$B$35,'10 yr rate'!$B41,IF('10 yr rate'!$E$25='10 yr rate'!$C$35,'10 yr rate'!$C41,IF('10 yr rate'!$E$25='10 yr rate'!$D$35,'10 yr rate'!$D41,IF('10 yr rate'!$E$25='10 yr rate'!$E$35,'10 yr rate'!$E41,1))))</f>
        <v>2</v>
      </c>
      <c r="K36" s="51">
        <f>IF('CPI(Inflation)'!$E$4='CPI(Inflation)'!$B$33,'CPI(Inflation)'!$B39,IF('CPI(Inflation)'!$E$4='CPI(Inflation)'!$C$33,'CPI(Inflation)'!$C39,IF('CPI(Inflation)'!$E$4='CPI(Inflation)'!$D$33,'CPI(Inflation)'!$D39,IF('CPI(Inflation)'!$E$4='CPI(Inflation)'!$E$33,'CPI(Inflation)'!$E39,1))))</f>
        <v>4</v>
      </c>
      <c r="L36" s="73">
        <f t="shared" si="1"/>
        <v>3.4000000000000004</v>
      </c>
      <c r="M36" s="51">
        <f>IF(PMI!$F$27=PMI!$B$43,PMI!$B49,IF(PMI!$F$27=PMI!$C$43,PMI!$C49,IF(PMI!$F$27=PMI!$D$43,PMI!$D49,IF(PMI!$F$27=PMI!$E$43,PMI!$E49,1))))</f>
        <v>4</v>
      </c>
      <c r="N36" s="51">
        <f>BNP!E116</f>
        <v>4</v>
      </c>
      <c r="O36" s="51">
        <f>IF('10 yr rate'!$E$26='10 yr rate'!$B$35,'10 yr rate'!$B41,IF('10 yr rate'!$E$26='10 yr rate'!$C$35,'10 yr rate'!$C41,IF('10 yr rate'!$E$26='10 yr rate'!$D$35,'10 yr rate'!$D41,IF('10 yr rate'!$E$26='10 yr rate'!$E$35,'10 yr rate'!$E41,1))))</f>
        <v>4</v>
      </c>
      <c r="P36" s="51">
        <f>IF('CPI(Inflation)'!$E$5='CPI(Inflation)'!$B$33,'CPI(Inflation)'!$B39,IF('CPI(Inflation)'!$E$5='CPI(Inflation)'!$C$33,'CPI(Inflation)'!$C39,IF('CPI(Inflation)'!$E$5='CPI(Inflation)'!$D$33,'CPI(Inflation)'!$D39,IF('CPI(Inflation)'!$E$5='CPI(Inflation)'!$E$33,'CPI(Inflation)'!$E39,1))))</f>
        <v>2</v>
      </c>
      <c r="Q36" s="73">
        <f t="shared" si="2"/>
        <v>3.4</v>
      </c>
      <c r="R36" s="51">
        <f>IF(PMI!$F$28=PMI!$B$43,PMI!$B49,IF(PMI!$F$28=PMI!$C$43,PMI!$C49,IF(PMI!$F$28=PMI!$D$43,PMI!$D49,IF(PMI!$F$28=PMI!$E$43,PMI!$E49,1))))</f>
        <v>4</v>
      </c>
      <c r="S36" s="51">
        <f>BNP!F116</f>
        <v>2</v>
      </c>
      <c r="T36" s="51">
        <f>IF('10 yr rate'!$E$27='10 yr rate'!$B$35,'10 yr rate'!$B41,IF('10 yr rate'!$E$27='10 yr rate'!$C$35,'10 yr rate'!$C41,IF('10 yr rate'!$E$27='10 yr rate'!$D$35,'10 yr rate'!$D41,IF('10 yr rate'!$E$27='10 yr rate'!$E$35,'10 yr rate'!$E41,1))))</f>
        <v>4</v>
      </c>
      <c r="U36" s="51">
        <f>IF('CPI(Inflation)'!$E$6='CPI(Inflation)'!$B$33,'CPI(Inflation)'!$B39,IF('CPI(Inflation)'!$E$6='CPI(Inflation)'!$C$33,'CPI(Inflation)'!$C39,IF('CPI(Inflation)'!$E$6='CPI(Inflation)'!$D$33,'CPI(Inflation)'!$D39,IF('CPI(Inflation)'!$E$6='CPI(Inflation)'!$E$33,'CPI(Inflation)'!$E39,1))))</f>
        <v>4</v>
      </c>
      <c r="V36" s="73">
        <f t="shared" si="3"/>
        <v>3.6000000000000005</v>
      </c>
      <c r="W36" s="51">
        <f>IF(PMI!$F$29=PMI!$B$43,PMI!$B49,IF(PMI!$F$29=PMI!$C$43,PMI!$C49,IF(PMI!$F$29=PMI!$D$43,PMI!$D49,IF(PMI!$F$29=PMI!$E$43,PMI!$E49,1))))</f>
        <v>2</v>
      </c>
      <c r="X36" s="51">
        <f>BNP!G116</f>
        <v>5</v>
      </c>
      <c r="Y36" s="51">
        <f>IF('10 yr rate'!$E$28='10 yr rate'!$B$35,'10 yr rate'!$B41,IF('10 yr rate'!$E$28='10 yr rate'!$C$35,'10 yr rate'!$C41,IF('10 yr rate'!$E$28='10 yr rate'!$D$35,'10 yr rate'!$D41,IF('10 yr rate'!$E$28='10 yr rate'!$E$35,'10 yr rate'!$E41,1))))</f>
        <v>4</v>
      </c>
      <c r="Z36" s="51">
        <f>IF('CPI(Inflation)'!$E$7='CPI(Inflation)'!$B$33,'CPI(Inflation)'!$B39,IF('CPI(Inflation)'!$E$7='CPI(Inflation)'!$C$33,'CPI(Inflation)'!$C39,IF('CPI(Inflation)'!$E$7='CPI(Inflation)'!$D$33,'CPI(Inflation)'!$D39,IF('CPI(Inflation)'!$E$7='CPI(Inflation)'!$E$33,'CPI(Inflation)'!$E39,1))))</f>
        <v>4</v>
      </c>
      <c r="AA36" s="73">
        <f t="shared" si="4"/>
        <v>3.6000000000000005</v>
      </c>
      <c r="AB36" s="51">
        <f>IF(PMI!$F$30=PMI!$B$43,PMI!$B49,IF(PMI!$F$30=PMI!$C$43,PMI!$C49,IF(PMI!$F$30=PMI!$D$43,PMI!$D49,IF(PMI!$F$30=PMI!$E$43,PMI!$E49,1))))</f>
        <v>4</v>
      </c>
      <c r="AC36" s="51">
        <f>BNP!H116</f>
        <v>3</v>
      </c>
      <c r="AD36" s="51">
        <f>IF('10 yr rate'!$E$29='10 yr rate'!$B$35,'10 yr rate'!$B41,IF('10 yr rate'!$E$29='10 yr rate'!$C$35,'10 yr rate'!$C41,IF('10 yr rate'!$E$29='10 yr rate'!$D$35,'10 yr rate'!$D41,IF('10 yr rate'!$E$29='10 yr rate'!$E$35,'10 yr rate'!$E41,1))))</f>
        <v>4</v>
      </c>
      <c r="AE36" s="51">
        <f>IF('CPI(Inflation)'!$E$8='CPI(Inflation)'!$B$33,'CPI(Inflation)'!$B39,IF('CPI(Inflation)'!$E$8='CPI(Inflation)'!$C$33,'CPI(Inflation)'!$C39,IF('CPI(Inflation)'!$E$8='CPI(Inflation)'!$D$33,'CPI(Inflation)'!$D39,IF('CPI(Inflation)'!$E$8='CPI(Inflation)'!$E$33,'CPI(Inflation)'!$E39,1))))</f>
        <v>4</v>
      </c>
      <c r="AF36" s="73">
        <f t="shared" si="5"/>
        <v>3.8</v>
      </c>
      <c r="AG36" s="87">
        <f>IF(PMI!$F$31=PMI!$B$43,PMI!$B49,IF(PMI!$F$31=PMI!$C$43,PMI!$C49,IF(PMI!$F$31=PMI!$D$43,PMI!$D49,IF(PMI!$F$31=PMI!$E$43,PMI!$E49,1))))</f>
        <v>2</v>
      </c>
      <c r="AH36" s="51">
        <f>BNP!I116</f>
        <v>2</v>
      </c>
      <c r="AI36" s="51">
        <f>IF('10 yr rate'!$E$30='10 yr rate'!$B$35,'10 yr rate'!$B41,IF('10 yr rate'!$E$30='10 yr rate'!$C$35,'10 yr rate'!$C41,IF('10 yr rate'!$E$30='10 yr rate'!$D$35,'10 yr rate'!$D41,IF('10 yr rate'!$E$30='10 yr rate'!$E$35,'10 yr rate'!$E41,1))))</f>
        <v>2</v>
      </c>
      <c r="AJ36" s="51">
        <f>IF('CPI(Inflation)'!$E$9='CPI(Inflation)'!$B$33,'CPI(Inflation)'!$B39,IF('CPI(Inflation)'!$E$9='CPI(Inflation)'!$C$33,'CPI(Inflation)'!$C39,IF('CPI(Inflation)'!$E$9='CPI(Inflation)'!$D$33,'CPI(Inflation)'!$D39,IF('CPI(Inflation)'!$E$9='CPI(Inflation)'!$E$33,'CPI(Inflation)'!$E39,1))))</f>
        <v>2</v>
      </c>
      <c r="AK36" s="51">
        <f>'Baltic Dry Index'!B39</f>
        <v>4</v>
      </c>
      <c r="AL36" s="51">
        <f>IF(VIX!$F$25=VIX!$B$33,VIX!B39,IF(VIX!$F$25=VIX!$C$33,VIX!C39,IF(VIX!$F$25=VIX!$D$33,VIX!D39,IF(VIX!$F$25=VIX!$E$33,VIX!E39,1))))</f>
        <v>4</v>
      </c>
      <c r="AM36" s="51">
        <f>IF(Currency!$F$25=Currency!$B$33,Currency!B39,IF(Currency!$F$25=Currency!$C$33,Currency!C39,IF(Currency!$F$25=Currency!$D$33,Currency!D39,IF(Currency!$F$25=Currency!$E$33,Currency!E39,1))))</f>
        <v>3</v>
      </c>
      <c r="AN36" s="51">
        <f>IF(Unemployment!$F$25=Unemployment!$B$33,Unemployment!B39,IF(Unemployment!$F$25=Unemployment!$C$33,Unemployment!C39,IF(Unemployment!$F$25=Unemployment!$D$33,Unemployment!D39,IF(Unemployment!$F$25=Unemployment!$E$33,Unemployment!E39,1))))</f>
        <v>4</v>
      </c>
      <c r="AO36" s="90">
        <f t="shared" si="6"/>
        <v>2.5003999999999995</v>
      </c>
      <c r="AP36" s="87">
        <f>IF(PMI!$F$32=PMI!$B$43,PMI!$B49,IF(PMI!$F$32=PMI!$C$43,PMI!$C49,IF(PMI!$F$32=PMI!$D$43,PMI!$D49,IF(PMI!$F$32=PMI!$E$43,PMI!$E49,1))))</f>
        <v>2</v>
      </c>
      <c r="AQ36" s="51">
        <f>BNP!J116</f>
        <v>4</v>
      </c>
      <c r="AR36" s="51">
        <f>IF('10 yr rate'!$E$31='10 yr rate'!$B$35,'10 yr rate'!$B41,IF('10 yr rate'!$E$31='10 yr rate'!$C$35,'10 yr rate'!$C41,IF('10 yr rate'!$E$31='10 yr rate'!$D$35,'10 yr rate'!$D41,IF('10 yr rate'!$E$31='10 yr rate'!$E$35,'10 yr rate'!$E41,1))))</f>
        <v>2</v>
      </c>
      <c r="AS36" s="51">
        <f>IF('CPI(Inflation)'!$E$10='CPI(Inflation)'!$B$33,'CPI(Inflation)'!$B39,IF('CPI(Inflation)'!$E$10='CPI(Inflation)'!$C$33,'CPI(Inflation)'!$C39,IF('CPI(Inflation)'!$E$10='CPI(Inflation)'!$D$33,'CPI(Inflation)'!$D39,IF('CPI(Inflation)'!$E$10='CPI(Inflation)'!$E$33,'CPI(Inflation)'!$E39,1))))</f>
        <v>4</v>
      </c>
      <c r="AT36" s="51">
        <f>'Baltic Dry Index'!B39</f>
        <v>4</v>
      </c>
      <c r="AU36" s="51">
        <f>IF(VIX!$F$26=VIX!$B$33,VIX!B39,IF(VIX!$F$26=VIX!$C$33,VIX!C39,IF(VIX!$F$26=VIX!$D$33,VIX!D39,IF(VIX!$F$26=VIX!$E$33,VIX!E39,1))))</f>
        <v>2</v>
      </c>
      <c r="AV36" s="51">
        <f>IF(Currency!$F$26=Currency!$B$33,Currency!B39,IF(Currency!$F$26=Currency!$C$33,Currency!C39,IF(Currency!$F$26=Currency!$D$33,Currency!D39,IF(Currency!$F$26=Currency!$E$33,Currency!E39,1))))</f>
        <v>2</v>
      </c>
      <c r="AW36" s="51">
        <f>IF(Unemployment!$F$26=Unemployment!$B$33,Unemployment!B39,IF(Unemployment!$F$26=Unemployment!$C$33,Unemployment!C39,IF(Unemployment!$F$26=Unemployment!$D$33,Unemployment!D39,IF(Unemployment!$F$26=Unemployment!$E$33,Unemployment!E39,1))))</f>
        <v>4</v>
      </c>
      <c r="AX36" s="90">
        <f t="shared" si="7"/>
        <v>3.0002</v>
      </c>
    </row>
    <row r="37" spans="2:89" x14ac:dyDescent="0.3">
      <c r="B37" s="53" t="s">
        <v>15</v>
      </c>
      <c r="C37" s="44">
        <f>IF(PMI!$F$25=PMI!$B$43,PMI!B50,IF(PMI!$F$25=PMI!$C$43,PMI!C50,IF(PMI!$F$25=PMI!$D$43,PMI!D50,IF(PMI!$F$25=PMI!$E$43,PMI!E50,1))))</f>
        <v>2</v>
      </c>
      <c r="D37" s="44">
        <f>BNP!C121</f>
        <v>3</v>
      </c>
      <c r="E37" s="44">
        <f>IF('10 yr rate'!$E$24='10 yr rate'!$B$35,'10 yr rate'!B42,IF('10 yr rate'!$E$24='10 yr rate'!$C$35,'10 yr rate'!C42,IF('10 yr rate'!$E$24='10 yr rate'!$D$35,'10 yr rate'!D42,IF('10 yr rate'!$E$24='10 yr rate'!$E$35,'10 yr rate'!E42,1))))</f>
        <v>2</v>
      </c>
      <c r="F37" s="44">
        <f>IF('CPI(Inflation)'!$E$3='CPI(Inflation)'!$B$33,'CPI(Inflation)'!B40,IF('CPI(Inflation)'!$E$3='CPI(Inflation)'!$C$33,'CPI(Inflation)'!C40,IF('CPI(Inflation)'!$E$3='CPI(Inflation)'!$D$33,'CPI(Inflation)'!D40,IF('CPI(Inflation)'!$E$3='CPI(Inflation)'!$E$33,'CPI(Inflation)'!E40,1))))</f>
        <v>2</v>
      </c>
      <c r="G37" s="73">
        <f t="shared" si="0"/>
        <v>2.2000000000000002</v>
      </c>
      <c r="H37" s="51">
        <f>IF(PMI!$F$26=PMI!$B$43,PMI!$B50,IF(PMI!$F$26=PMI!$C$43,PMI!$C50,IF(PMI!$F$26=PMI!$D$43,PMI!$D50,IF(PMI!$F$26=PMI!$E$43,PMI!$E50,1))))</f>
        <v>2</v>
      </c>
      <c r="I37" s="52">
        <f>BNP!H121</f>
        <v>1</v>
      </c>
      <c r="J37" s="51">
        <f>IF('10 yr rate'!$E$25='10 yr rate'!$B$35,'10 yr rate'!$B42,IF('10 yr rate'!$E$25='10 yr rate'!$C$35,'10 yr rate'!$C42,IF('10 yr rate'!$E$25='10 yr rate'!$D$35,'10 yr rate'!$D42,IF('10 yr rate'!$E$25='10 yr rate'!$E$35,'10 yr rate'!$E42,1))))</f>
        <v>2</v>
      </c>
      <c r="K37" s="51">
        <f>IF('CPI(Inflation)'!$E$4='CPI(Inflation)'!$B$33,'CPI(Inflation)'!$B40,IF('CPI(Inflation)'!$E$4='CPI(Inflation)'!$C$33,'CPI(Inflation)'!$C40,IF('CPI(Inflation)'!$E$4='CPI(Inflation)'!$D$33,'CPI(Inflation)'!$D40,IF('CPI(Inflation)'!$E$4='CPI(Inflation)'!$E$33,'CPI(Inflation)'!$E40,1))))</f>
        <v>2</v>
      </c>
      <c r="L37" s="73">
        <f t="shared" si="1"/>
        <v>1.8000000000000003</v>
      </c>
      <c r="M37" s="51">
        <f>IF(PMI!$F$27=PMI!$B$43,PMI!$B50,IF(PMI!$F$27=PMI!$C$43,PMI!$C50,IF(PMI!$F$27=PMI!$D$43,PMI!$D50,IF(PMI!$F$27=PMI!$E$43,PMI!$E50,1))))</f>
        <v>2</v>
      </c>
      <c r="N37" s="51">
        <f>BNP!E121</f>
        <v>3</v>
      </c>
      <c r="O37" s="51">
        <f>IF('10 yr rate'!$E$26='10 yr rate'!$B$35,'10 yr rate'!$B42,IF('10 yr rate'!$E$26='10 yr rate'!$C$35,'10 yr rate'!$C42,IF('10 yr rate'!$E$26='10 yr rate'!$D$35,'10 yr rate'!$D42,IF('10 yr rate'!$E$26='10 yr rate'!$E$35,'10 yr rate'!$E42,1))))</f>
        <v>2</v>
      </c>
      <c r="P37" s="51">
        <f>IF('CPI(Inflation)'!$E$5='CPI(Inflation)'!$B$33,'CPI(Inflation)'!$B40,IF('CPI(Inflation)'!$E$5='CPI(Inflation)'!$C$33,'CPI(Inflation)'!$C40,IF('CPI(Inflation)'!$E$5='CPI(Inflation)'!$D$33,'CPI(Inflation)'!$D40,IF('CPI(Inflation)'!$E$5='CPI(Inflation)'!$E$33,'CPI(Inflation)'!$E40,1))))</f>
        <v>5</v>
      </c>
      <c r="Q37" s="73">
        <f t="shared" si="2"/>
        <v>3.1</v>
      </c>
      <c r="R37" s="51">
        <f>IF(PMI!$F$28=PMI!$B$43,PMI!$B50,IF(PMI!$F$28=PMI!$C$43,PMI!$C50,IF(PMI!$F$28=PMI!$D$43,PMI!$D50,IF(PMI!$F$28=PMI!$E$43,PMI!$E50,1))))</f>
        <v>2</v>
      </c>
      <c r="S37" s="51">
        <f>BNP!F121</f>
        <v>3</v>
      </c>
      <c r="T37" s="51">
        <f>IF('10 yr rate'!$E$27='10 yr rate'!$B$35,'10 yr rate'!$B42,IF('10 yr rate'!$E$27='10 yr rate'!$C$35,'10 yr rate'!$C42,IF('10 yr rate'!$E$27='10 yr rate'!$D$35,'10 yr rate'!$D42,IF('10 yr rate'!$E$27='10 yr rate'!$E$35,'10 yr rate'!$E42,1))))</f>
        <v>2</v>
      </c>
      <c r="U37" s="51">
        <f>IF('CPI(Inflation)'!$E$6='CPI(Inflation)'!$B$33,'CPI(Inflation)'!$B40,IF('CPI(Inflation)'!$E$6='CPI(Inflation)'!$C$33,'CPI(Inflation)'!$C40,IF('CPI(Inflation)'!$E$6='CPI(Inflation)'!$D$33,'CPI(Inflation)'!$D40,IF('CPI(Inflation)'!$E$6='CPI(Inflation)'!$E$33,'CPI(Inflation)'!$E40,1))))</f>
        <v>2</v>
      </c>
      <c r="V37" s="73">
        <f t="shared" si="3"/>
        <v>2.2000000000000002</v>
      </c>
      <c r="W37" s="51">
        <f>IF(PMI!$F$29=PMI!$B$43,PMI!$B50,IF(PMI!$F$29=PMI!$C$43,PMI!$C50,IF(PMI!$F$29=PMI!$D$43,PMI!$D50,IF(PMI!$F$29=PMI!$E$43,PMI!$E50,1))))</f>
        <v>2</v>
      </c>
      <c r="X37" s="51">
        <f>BNP!G121</f>
        <v>5</v>
      </c>
      <c r="Y37" s="51">
        <f>IF('10 yr rate'!$E$28='10 yr rate'!$B$35,'10 yr rate'!$B42,IF('10 yr rate'!$E$28='10 yr rate'!$C$35,'10 yr rate'!$C42,IF('10 yr rate'!$E$28='10 yr rate'!$D$35,'10 yr rate'!$D42,IF('10 yr rate'!$E$28='10 yr rate'!$E$35,'10 yr rate'!$E42,1))))</f>
        <v>2</v>
      </c>
      <c r="Z37" s="51">
        <f>IF('CPI(Inflation)'!$E$7='CPI(Inflation)'!$B$33,'CPI(Inflation)'!$B40,IF('CPI(Inflation)'!$E$7='CPI(Inflation)'!$C$33,'CPI(Inflation)'!$C40,IF('CPI(Inflation)'!$E$7='CPI(Inflation)'!$D$33,'CPI(Inflation)'!$D40,IF('CPI(Inflation)'!$E$7='CPI(Inflation)'!$E$33,'CPI(Inflation)'!$E40,1))))</f>
        <v>2</v>
      </c>
      <c r="AA37" s="73">
        <f t="shared" si="4"/>
        <v>2.6</v>
      </c>
      <c r="AB37" s="51">
        <f>IF(PMI!$F$30=PMI!$B$43,PMI!$B50,IF(PMI!$F$30=PMI!$C$43,PMI!$C50,IF(PMI!$F$30=PMI!$D$43,PMI!$D50,IF(PMI!$F$30=PMI!$E$43,PMI!$E50,1))))</f>
        <v>2</v>
      </c>
      <c r="AC37" s="51">
        <f>BNP!H121</f>
        <v>1</v>
      </c>
      <c r="AD37" s="51">
        <f>IF('10 yr rate'!$E$29='10 yr rate'!$B$35,'10 yr rate'!$B42,IF('10 yr rate'!$E$29='10 yr rate'!$C$35,'10 yr rate'!$C42,IF('10 yr rate'!$E$29='10 yr rate'!$D$35,'10 yr rate'!$D42,IF('10 yr rate'!$E$29='10 yr rate'!$E$35,'10 yr rate'!$E42,1))))</f>
        <v>2</v>
      </c>
      <c r="AE37" s="51">
        <f>IF('CPI(Inflation)'!$E$8='CPI(Inflation)'!$B$33,'CPI(Inflation)'!$B40,IF('CPI(Inflation)'!$E$8='CPI(Inflation)'!$C$33,'CPI(Inflation)'!$C40,IF('CPI(Inflation)'!$E$8='CPI(Inflation)'!$D$33,'CPI(Inflation)'!$D40,IF('CPI(Inflation)'!$E$8='CPI(Inflation)'!$E$33,'CPI(Inflation)'!$E40,1))))</f>
        <v>2</v>
      </c>
      <c r="AF37" s="73">
        <f t="shared" si="5"/>
        <v>1.8000000000000003</v>
      </c>
      <c r="AG37" s="87">
        <f>IF(PMI!$F$31=PMI!$B$43,PMI!$B50,IF(PMI!$F$31=PMI!$C$43,PMI!$C50,IF(PMI!$F$31=PMI!$D$43,PMI!$D50,IF(PMI!$F$31=PMI!$E$43,PMI!$E50,1))))</f>
        <v>2</v>
      </c>
      <c r="AH37" s="51">
        <f>BNP!I121</f>
        <v>3</v>
      </c>
      <c r="AI37" s="51">
        <f>IF('10 yr rate'!$E$30='10 yr rate'!$B$35,'10 yr rate'!$B42,IF('10 yr rate'!$E$30='10 yr rate'!$C$35,'10 yr rate'!$C42,IF('10 yr rate'!$E$30='10 yr rate'!$D$35,'10 yr rate'!$D42,IF('10 yr rate'!$E$30='10 yr rate'!$E$35,'10 yr rate'!$E42,1))))</f>
        <v>2</v>
      </c>
      <c r="AJ37" s="51">
        <f>IF('CPI(Inflation)'!$E$9='CPI(Inflation)'!$B$33,'CPI(Inflation)'!$B40,IF('CPI(Inflation)'!$E$9='CPI(Inflation)'!$C$33,'CPI(Inflation)'!$C40,IF('CPI(Inflation)'!$E$9='CPI(Inflation)'!$D$33,'CPI(Inflation)'!$D40,IF('CPI(Inflation)'!$E$9='CPI(Inflation)'!$E$33,'CPI(Inflation)'!$E40,1))))</f>
        <v>2</v>
      </c>
      <c r="AK37" s="51">
        <f>'Baltic Dry Index'!B40</f>
        <v>2</v>
      </c>
      <c r="AL37" s="51">
        <f>IF(VIX!$F$25=VIX!$B$33,VIX!B40,IF(VIX!$F$25=VIX!$C$33,VIX!C40,IF(VIX!$F$25=VIX!$D$33,VIX!D40,IF(VIX!$F$25=VIX!$E$33,VIX!E40,1))))</f>
        <v>2</v>
      </c>
      <c r="AM37" s="51">
        <f>IF(Currency!$F$25=Currency!$B$33,Currency!B40,IF(Currency!$F$25=Currency!$C$33,Currency!C40,IF(Currency!$F$25=Currency!$D$33,Currency!D40,IF(Currency!$F$25=Currency!$E$33,Currency!E40,1))))</f>
        <v>4</v>
      </c>
      <c r="AN37" s="51">
        <f>IF(Unemployment!$F$25=Unemployment!$B$33,Unemployment!B40,IF(Unemployment!$F$25=Unemployment!$C$33,Unemployment!C40,IF(Unemployment!$F$25=Unemployment!$D$33,Unemployment!D40,IF(Unemployment!$F$25=Unemployment!$E$33,Unemployment!E40,1))))</f>
        <v>2</v>
      </c>
      <c r="AO37" s="90">
        <f t="shared" si="6"/>
        <v>2.3058000000000001</v>
      </c>
      <c r="AP37" s="87">
        <f>IF(PMI!$F$32=PMI!$B$43,PMI!$B50,IF(PMI!$F$32=PMI!$C$43,PMI!$C50,IF(PMI!$F$32=PMI!$D$43,PMI!$D50,IF(PMI!$F$32=PMI!$E$43,PMI!$E50,1))))</f>
        <v>2</v>
      </c>
      <c r="AQ37" s="51">
        <f>BNP!J121</f>
        <v>3</v>
      </c>
      <c r="AR37" s="51">
        <f>IF('10 yr rate'!$E$31='10 yr rate'!$B$35,'10 yr rate'!$B42,IF('10 yr rate'!$E$31='10 yr rate'!$C$35,'10 yr rate'!$C42,IF('10 yr rate'!$E$31='10 yr rate'!$D$35,'10 yr rate'!$D42,IF('10 yr rate'!$E$31='10 yr rate'!$E$35,'10 yr rate'!$E42,1))))</f>
        <v>2</v>
      </c>
      <c r="AS37" s="51">
        <f>IF('CPI(Inflation)'!$E$10='CPI(Inflation)'!$B$33,'CPI(Inflation)'!$B40,IF('CPI(Inflation)'!$E$10='CPI(Inflation)'!$C$33,'CPI(Inflation)'!$C40,IF('CPI(Inflation)'!$E$10='CPI(Inflation)'!$D$33,'CPI(Inflation)'!$D40,IF('CPI(Inflation)'!$E$10='CPI(Inflation)'!$E$33,'CPI(Inflation)'!$E40,1))))</f>
        <v>2</v>
      </c>
      <c r="AT37" s="51">
        <f>'Baltic Dry Index'!B40</f>
        <v>2</v>
      </c>
      <c r="AU37" s="51">
        <f>IF(VIX!$F$26=VIX!$B$33,VIX!B40,IF(VIX!$F$26=VIX!$C$33,VIX!C40,IF(VIX!$F$26=VIX!$D$33,VIX!D40,IF(VIX!$F$26=VIX!$E$33,VIX!E40,1))))</f>
        <v>5</v>
      </c>
      <c r="AV37" s="51">
        <f>IF(Currency!$F$26=Currency!$B$33,Currency!B40,IF(Currency!$F$26=Currency!$C$33,Currency!C40,IF(Currency!$F$26=Currency!$D$33,Currency!D40,IF(Currency!$F$26=Currency!$E$33,Currency!E40,1))))</f>
        <v>2</v>
      </c>
      <c r="AW37" s="51">
        <f>IF(Unemployment!$F$26=Unemployment!$B$33,Unemployment!B40,IF(Unemployment!$F$26=Unemployment!$C$33,Unemployment!C40,IF(Unemployment!$F$26=Unemployment!$D$33,Unemployment!D40,IF(Unemployment!$F$26=Unemployment!$E$33,Unemployment!E40,1))))</f>
        <v>2</v>
      </c>
      <c r="AX37" s="90">
        <f t="shared" si="7"/>
        <v>2.3614000000000002</v>
      </c>
    </row>
    <row r="38" spans="2:89" x14ac:dyDescent="0.3">
      <c r="B38" s="53" t="s">
        <v>16</v>
      </c>
      <c r="C38" s="44">
        <f>IF(PMI!$F$25=PMI!$B$43,PMI!B51,IF(PMI!$F$25=PMI!$C$43,PMI!C51,IF(PMI!$F$25=PMI!$D$43,PMI!D51,IF(PMI!$F$25=PMI!$E$43,PMI!E51,1))))</f>
        <v>2</v>
      </c>
      <c r="D38" s="44">
        <f>BNP!C121</f>
        <v>3</v>
      </c>
      <c r="E38" s="44">
        <f>IF('10 yr rate'!$E$24='10 yr rate'!$B$35,'10 yr rate'!B43,IF('10 yr rate'!$E$24='10 yr rate'!$C$35,'10 yr rate'!C43,IF('10 yr rate'!$E$24='10 yr rate'!$D$35,'10 yr rate'!D43,IF('10 yr rate'!$E$24='10 yr rate'!$E$35,'10 yr rate'!E43,1))))</f>
        <v>2</v>
      </c>
      <c r="F38" s="44">
        <f>IF('CPI(Inflation)'!$E$3='CPI(Inflation)'!$B$33,'CPI(Inflation)'!B41,IF('CPI(Inflation)'!$E$3='CPI(Inflation)'!$C$33,'CPI(Inflation)'!C41,IF('CPI(Inflation)'!$E$3='CPI(Inflation)'!$D$33,'CPI(Inflation)'!D41,IF('CPI(Inflation)'!$E$3='CPI(Inflation)'!$E$33,'CPI(Inflation)'!E41,1))))</f>
        <v>2</v>
      </c>
      <c r="G38" s="73">
        <f t="shared" si="0"/>
        <v>2.2000000000000002</v>
      </c>
      <c r="H38" s="51">
        <f>IF(PMI!$F$26=PMI!$B$43,PMI!$B51,IF(PMI!$F$26=PMI!$C$43,PMI!$C51,IF(PMI!$F$26=PMI!$D$43,PMI!$D51,IF(PMI!$F$26=PMI!$E$43,PMI!$E51,1))))</f>
        <v>2</v>
      </c>
      <c r="I38" s="52">
        <f>BNP!H121</f>
        <v>1</v>
      </c>
      <c r="J38" s="51">
        <f>IF('10 yr rate'!$E$25='10 yr rate'!$B$35,'10 yr rate'!$B43,IF('10 yr rate'!$E$25='10 yr rate'!$C$35,'10 yr rate'!$C43,IF('10 yr rate'!$E$25='10 yr rate'!$D$35,'10 yr rate'!$D43,IF('10 yr rate'!$E$25='10 yr rate'!$E$35,'10 yr rate'!$E43,1))))</f>
        <v>3</v>
      </c>
      <c r="K38" s="51">
        <f>IF('CPI(Inflation)'!$E$4='CPI(Inflation)'!$B$33,'CPI(Inflation)'!$B41,IF('CPI(Inflation)'!$E$4='CPI(Inflation)'!$C$33,'CPI(Inflation)'!$C41,IF('CPI(Inflation)'!$E$4='CPI(Inflation)'!$D$33,'CPI(Inflation)'!$D41,IF('CPI(Inflation)'!$E$4='CPI(Inflation)'!$E$33,'CPI(Inflation)'!$E41,1))))</f>
        <v>2</v>
      </c>
      <c r="L38" s="73">
        <f t="shared" si="1"/>
        <v>2</v>
      </c>
      <c r="M38" s="51">
        <f>IF(PMI!$F$27=PMI!$B$43,PMI!$B51,IF(PMI!$F$27=PMI!$C$43,PMI!$C51,IF(PMI!$F$27=PMI!$D$43,PMI!$D51,IF(PMI!$F$27=PMI!$E$43,PMI!$E51,1))))</f>
        <v>2</v>
      </c>
      <c r="N38" s="51">
        <f>BNP!E121</f>
        <v>3</v>
      </c>
      <c r="O38" s="51">
        <f>IF('10 yr rate'!$E$26='10 yr rate'!$B$35,'10 yr rate'!$B43,IF('10 yr rate'!$E$26='10 yr rate'!$C$35,'10 yr rate'!$C43,IF('10 yr rate'!$E$26='10 yr rate'!$D$35,'10 yr rate'!$D43,IF('10 yr rate'!$E$26='10 yr rate'!$E$35,'10 yr rate'!$E43,1))))</f>
        <v>2</v>
      </c>
      <c r="P38" s="51">
        <f>IF('CPI(Inflation)'!$E$5='CPI(Inflation)'!$B$33,'CPI(Inflation)'!$B41,IF('CPI(Inflation)'!$E$5='CPI(Inflation)'!$C$33,'CPI(Inflation)'!$C41,IF('CPI(Inflation)'!$E$5='CPI(Inflation)'!$D$33,'CPI(Inflation)'!$D41,IF('CPI(Inflation)'!$E$5='CPI(Inflation)'!$E$33,'CPI(Inflation)'!$E41,1))))</f>
        <v>5</v>
      </c>
      <c r="Q38" s="73">
        <f t="shared" si="2"/>
        <v>3.1</v>
      </c>
      <c r="R38" s="51">
        <f>IF(PMI!$F$28=PMI!$B$43,PMI!$B51,IF(PMI!$F$28=PMI!$C$43,PMI!$C51,IF(PMI!$F$28=PMI!$D$43,PMI!$D51,IF(PMI!$F$28=PMI!$E$43,PMI!$E51,1))))</f>
        <v>2</v>
      </c>
      <c r="S38" s="51">
        <f>BNP!F121</f>
        <v>3</v>
      </c>
      <c r="T38" s="51">
        <f>IF('10 yr rate'!$E$27='10 yr rate'!$B$35,'10 yr rate'!$B43,IF('10 yr rate'!$E$27='10 yr rate'!$C$35,'10 yr rate'!$C43,IF('10 yr rate'!$E$27='10 yr rate'!$D$35,'10 yr rate'!$D43,IF('10 yr rate'!$E$27='10 yr rate'!$E$35,'10 yr rate'!$E43,1))))</f>
        <v>2</v>
      </c>
      <c r="U38" s="51">
        <f>IF('CPI(Inflation)'!$E$6='CPI(Inflation)'!$B$33,'CPI(Inflation)'!$B41,IF('CPI(Inflation)'!$E$6='CPI(Inflation)'!$C$33,'CPI(Inflation)'!$C41,IF('CPI(Inflation)'!$E$6='CPI(Inflation)'!$D$33,'CPI(Inflation)'!$D41,IF('CPI(Inflation)'!$E$6='CPI(Inflation)'!$E$33,'CPI(Inflation)'!$E41,1))))</f>
        <v>2</v>
      </c>
      <c r="V38" s="73">
        <f t="shared" si="3"/>
        <v>2.2000000000000002</v>
      </c>
      <c r="W38" s="51">
        <f>IF(PMI!$F$29=PMI!$B$43,PMI!$B51,IF(PMI!$F$29=PMI!$C$43,PMI!$C51,IF(PMI!$F$29=PMI!$D$43,PMI!$D51,IF(PMI!$F$29=PMI!$E$43,PMI!$E51,1))))</f>
        <v>3</v>
      </c>
      <c r="X38" s="51">
        <f>BNP!G121</f>
        <v>5</v>
      </c>
      <c r="Y38" s="51">
        <f>IF('10 yr rate'!$E$28='10 yr rate'!$B$35,'10 yr rate'!$B43,IF('10 yr rate'!$E$28='10 yr rate'!$C$35,'10 yr rate'!$C43,IF('10 yr rate'!$E$28='10 yr rate'!$D$35,'10 yr rate'!$D43,IF('10 yr rate'!$E$28='10 yr rate'!$E$35,'10 yr rate'!$E43,1))))</f>
        <v>2</v>
      </c>
      <c r="Z38" s="51">
        <f>IF('CPI(Inflation)'!$E$7='CPI(Inflation)'!$B$33,'CPI(Inflation)'!$B41,IF('CPI(Inflation)'!$E$7='CPI(Inflation)'!$C$33,'CPI(Inflation)'!$C41,IF('CPI(Inflation)'!$E$7='CPI(Inflation)'!$D$33,'CPI(Inflation)'!$D41,IF('CPI(Inflation)'!$E$7='CPI(Inflation)'!$E$33,'CPI(Inflation)'!$E41,1))))</f>
        <v>2</v>
      </c>
      <c r="AA38" s="73">
        <f t="shared" si="4"/>
        <v>2.9</v>
      </c>
      <c r="AB38" s="51">
        <f>IF(PMI!$F$30=PMI!$B$43,PMI!$B51,IF(PMI!$F$30=PMI!$C$43,PMI!$C51,IF(PMI!$F$30=PMI!$D$43,PMI!$D51,IF(PMI!$F$30=PMI!$E$43,PMI!$E51,1))))</f>
        <v>2</v>
      </c>
      <c r="AC38" s="51">
        <f>BNP!H121</f>
        <v>1</v>
      </c>
      <c r="AD38" s="51">
        <f>IF('10 yr rate'!$E$29='10 yr rate'!$B$35,'10 yr rate'!$B43,IF('10 yr rate'!$E$29='10 yr rate'!$C$35,'10 yr rate'!$C43,IF('10 yr rate'!$E$29='10 yr rate'!$D$35,'10 yr rate'!$D43,IF('10 yr rate'!$E$29='10 yr rate'!$E$35,'10 yr rate'!$E43,1))))</f>
        <v>2</v>
      </c>
      <c r="AE38" s="51">
        <f>IF('CPI(Inflation)'!$E$8='CPI(Inflation)'!$B$33,'CPI(Inflation)'!$B41,IF('CPI(Inflation)'!$E$8='CPI(Inflation)'!$C$33,'CPI(Inflation)'!$C41,IF('CPI(Inflation)'!$E$8='CPI(Inflation)'!$D$33,'CPI(Inflation)'!$D41,IF('CPI(Inflation)'!$E$8='CPI(Inflation)'!$E$33,'CPI(Inflation)'!$E41,1))))</f>
        <v>2</v>
      </c>
      <c r="AF38" s="73">
        <f t="shared" si="5"/>
        <v>1.8000000000000003</v>
      </c>
      <c r="AG38" s="87">
        <f>IF(PMI!$F$31=PMI!$B$43,PMI!$B51,IF(PMI!$F$31=PMI!$C$43,PMI!$C51,IF(PMI!$F$31=PMI!$D$43,PMI!$D51,IF(PMI!$F$31=PMI!$E$43,PMI!$E51,1))))</f>
        <v>3</v>
      </c>
      <c r="AH38" s="51">
        <f>BNP!I121</f>
        <v>3</v>
      </c>
      <c r="AI38" s="51">
        <f>IF('10 yr rate'!$E$30='10 yr rate'!$B$35,'10 yr rate'!$B43,IF('10 yr rate'!$E$30='10 yr rate'!$C$35,'10 yr rate'!$C43,IF('10 yr rate'!$E$30='10 yr rate'!$D$35,'10 yr rate'!$D43,IF('10 yr rate'!$E$30='10 yr rate'!$E$35,'10 yr rate'!$E43,1))))</f>
        <v>3</v>
      </c>
      <c r="AJ38" s="51">
        <f>IF('CPI(Inflation)'!$E$9='CPI(Inflation)'!$B$33,'CPI(Inflation)'!$B41,IF('CPI(Inflation)'!$E$9='CPI(Inflation)'!$C$33,'CPI(Inflation)'!$C41,IF('CPI(Inflation)'!$E$9='CPI(Inflation)'!$D$33,'CPI(Inflation)'!$D41,IF('CPI(Inflation)'!$E$9='CPI(Inflation)'!$E$33,'CPI(Inflation)'!$E41,1))))</f>
        <v>3</v>
      </c>
      <c r="AK38" s="51">
        <f>'Baltic Dry Index'!B41</f>
        <v>2</v>
      </c>
      <c r="AL38" s="51">
        <f>IF(VIX!$F$25=VIX!$B$33,VIX!B41,IF(VIX!$F$25=VIX!$C$33,VIX!C41,IF(VIX!$F$25=VIX!$D$33,VIX!D41,IF(VIX!$F$25=VIX!$E$33,VIX!E41,1))))</f>
        <v>2</v>
      </c>
      <c r="AM38" s="51">
        <f>IF(Currency!$F$25=Currency!$B$33,Currency!B41,IF(Currency!$F$25=Currency!$C$33,Currency!C41,IF(Currency!$F$25=Currency!$D$33,Currency!D41,IF(Currency!$F$25=Currency!$E$33,Currency!E41,1))))</f>
        <v>3</v>
      </c>
      <c r="AN38" s="51">
        <f>IF(Unemployment!$F$25=Unemployment!$B$33,Unemployment!B41,IF(Unemployment!$F$25=Unemployment!$C$33,Unemployment!C41,IF(Unemployment!$F$25=Unemployment!$D$33,Unemployment!D41,IF(Unemployment!$F$25=Unemployment!$E$33,Unemployment!E41,1))))</f>
        <v>2</v>
      </c>
      <c r="AO38" s="90">
        <f t="shared" si="6"/>
        <v>2.778</v>
      </c>
      <c r="AP38" s="87">
        <f>IF(PMI!$F$32=PMI!$B$43,PMI!$B51,IF(PMI!$F$32=PMI!$C$43,PMI!$C51,IF(PMI!$F$32=PMI!$D$43,PMI!$D51,IF(PMI!$F$32=PMI!$E$43,PMI!$E51,1))))</f>
        <v>3</v>
      </c>
      <c r="AQ38" s="51">
        <f>BNP!J121</f>
        <v>3</v>
      </c>
      <c r="AR38" s="51">
        <f>IF('10 yr rate'!$E$31='10 yr rate'!$B$35,'10 yr rate'!$B43,IF('10 yr rate'!$E$31='10 yr rate'!$C$35,'10 yr rate'!$C43,IF('10 yr rate'!$E$31='10 yr rate'!$D$35,'10 yr rate'!$D43,IF('10 yr rate'!$E$31='10 yr rate'!$E$35,'10 yr rate'!$E43,1))))</f>
        <v>3</v>
      </c>
      <c r="AS38" s="51">
        <f>IF('CPI(Inflation)'!$E$10='CPI(Inflation)'!$B$33,'CPI(Inflation)'!$B41,IF('CPI(Inflation)'!$E$10='CPI(Inflation)'!$C$33,'CPI(Inflation)'!$C41,IF('CPI(Inflation)'!$E$10='CPI(Inflation)'!$D$33,'CPI(Inflation)'!$D41,IF('CPI(Inflation)'!$E$10='CPI(Inflation)'!$E$33,'CPI(Inflation)'!$E41,1))))</f>
        <v>2</v>
      </c>
      <c r="AT38" s="51">
        <f>'Baltic Dry Index'!B41</f>
        <v>2</v>
      </c>
      <c r="AU38" s="51">
        <f>IF(VIX!$F$26=VIX!$B$33,VIX!B41,IF(VIX!$F$26=VIX!$C$33,VIX!C41,IF(VIX!$F$26=VIX!$D$33,VIX!D41,IF(VIX!$F$26=VIX!$E$33,VIX!E41,1))))</f>
        <v>5</v>
      </c>
      <c r="AV38" s="51">
        <f>IF(Currency!$F$26=Currency!$B$33,Currency!B41,IF(Currency!$F$26=Currency!$C$33,Currency!C41,IF(Currency!$F$26=Currency!$D$33,Currency!D41,IF(Currency!$F$26=Currency!$E$33,Currency!E41,1))))</f>
        <v>3</v>
      </c>
      <c r="AW38" s="51">
        <f>IF(Unemployment!$F$26=Unemployment!$B$33,Unemployment!B41,IF(Unemployment!$F$26=Unemployment!$C$33,Unemployment!C41,IF(Unemployment!$F$26=Unemployment!$D$33,Unemployment!D41,IF(Unemployment!$F$26=Unemployment!$E$33,Unemployment!E41,1))))</f>
        <v>2</v>
      </c>
      <c r="AX38" s="90">
        <f t="shared" si="7"/>
        <v>2.8058999999999998</v>
      </c>
    </row>
    <row r="39" spans="2:89" x14ac:dyDescent="0.3">
      <c r="B39" s="53" t="s">
        <v>17</v>
      </c>
      <c r="C39" s="44">
        <f>IF(PMI!$F$25=PMI!$B$43,PMI!B52,IF(PMI!$F$25=PMI!$C$43,PMI!C52,IF(PMI!$F$25=PMI!$D$43,PMI!D52,IF(PMI!$F$25=PMI!$E$43,PMI!E52,1))))</f>
        <v>2</v>
      </c>
      <c r="D39" s="44">
        <f>BNP!C126</f>
        <v>3</v>
      </c>
      <c r="E39" s="44">
        <f>IF('10 yr rate'!$E$24='10 yr rate'!$B$35,'10 yr rate'!B44,IF('10 yr rate'!$E$24='10 yr rate'!$C$35,'10 yr rate'!C44,IF('10 yr rate'!$E$24='10 yr rate'!$D$35,'10 yr rate'!D44,IF('10 yr rate'!$E$24='10 yr rate'!$E$35,'10 yr rate'!E44,1))))</f>
        <v>2</v>
      </c>
      <c r="F39" s="44">
        <f>IF('CPI(Inflation)'!$E$3='CPI(Inflation)'!$B$33,'CPI(Inflation)'!B42,IF('CPI(Inflation)'!$E$3='CPI(Inflation)'!$C$33,'CPI(Inflation)'!C42,IF('CPI(Inflation)'!$E$3='CPI(Inflation)'!$D$33,'CPI(Inflation)'!D42,IF('CPI(Inflation)'!$E$3='CPI(Inflation)'!$E$33,'CPI(Inflation)'!E42,1))))</f>
        <v>2</v>
      </c>
      <c r="G39" s="73">
        <f t="shared" si="0"/>
        <v>2.2000000000000002</v>
      </c>
      <c r="H39" s="51">
        <f>IF(PMI!$F$26=PMI!$B$43,PMI!$B52,IF(PMI!$F$26=PMI!$C$43,PMI!$C52,IF(PMI!$F$26=PMI!$D$43,PMI!$D52,IF(PMI!$F$26=PMI!$E$43,PMI!$E52,1))))</f>
        <v>2</v>
      </c>
      <c r="I39" s="52">
        <f>BNP!H126</f>
        <v>1</v>
      </c>
      <c r="J39" s="51">
        <f>IF('10 yr rate'!$E$25='10 yr rate'!$B$35,'10 yr rate'!$B44,IF('10 yr rate'!$E$25='10 yr rate'!$C$35,'10 yr rate'!$C44,IF('10 yr rate'!$E$25='10 yr rate'!$D$35,'10 yr rate'!$D44,IF('10 yr rate'!$E$25='10 yr rate'!$E$35,'10 yr rate'!$E44,1))))</f>
        <v>3</v>
      </c>
      <c r="K39" s="51">
        <f>IF('CPI(Inflation)'!$E$4='CPI(Inflation)'!$B$33,'CPI(Inflation)'!$B42,IF('CPI(Inflation)'!$E$4='CPI(Inflation)'!$C$33,'CPI(Inflation)'!$C42,IF('CPI(Inflation)'!$E$4='CPI(Inflation)'!$D$33,'CPI(Inflation)'!$D42,IF('CPI(Inflation)'!$E$4='CPI(Inflation)'!$E$33,'CPI(Inflation)'!$E42,1))))</f>
        <v>2</v>
      </c>
      <c r="L39" s="73">
        <f t="shared" si="1"/>
        <v>2</v>
      </c>
      <c r="M39" s="51">
        <f>IF(PMI!$F$27=PMI!$B$43,PMI!$B52,IF(PMI!$F$27=PMI!$C$43,PMI!$C52,IF(PMI!$F$27=PMI!$D$43,PMI!$D52,IF(PMI!$F$27=PMI!$E$43,PMI!$E52,1))))</f>
        <v>2</v>
      </c>
      <c r="N39" s="51">
        <f>BNP!E126</f>
        <v>5</v>
      </c>
      <c r="O39" s="51">
        <f>IF('10 yr rate'!$E$26='10 yr rate'!$B$35,'10 yr rate'!$B44,IF('10 yr rate'!$E$26='10 yr rate'!$C$35,'10 yr rate'!$C44,IF('10 yr rate'!$E$26='10 yr rate'!$D$35,'10 yr rate'!$D44,IF('10 yr rate'!$E$26='10 yr rate'!$E$35,'10 yr rate'!$E44,1))))</f>
        <v>2</v>
      </c>
      <c r="P39" s="51">
        <f>IF('CPI(Inflation)'!$E$5='CPI(Inflation)'!$B$33,'CPI(Inflation)'!$B42,IF('CPI(Inflation)'!$E$5='CPI(Inflation)'!$C$33,'CPI(Inflation)'!$C42,IF('CPI(Inflation)'!$E$5='CPI(Inflation)'!$D$33,'CPI(Inflation)'!$D42,IF('CPI(Inflation)'!$E$5='CPI(Inflation)'!$E$33,'CPI(Inflation)'!$E42,1))))</f>
        <v>1</v>
      </c>
      <c r="Q39" s="73">
        <f t="shared" si="2"/>
        <v>2.2999999999999998</v>
      </c>
      <c r="R39" s="51">
        <f>IF(PMI!$F$28=PMI!$B$43,PMI!$B52,IF(PMI!$F$28=PMI!$C$43,PMI!$C52,IF(PMI!$F$28=PMI!$D$43,PMI!$D52,IF(PMI!$F$28=PMI!$E$43,PMI!$E52,1))))</f>
        <v>2</v>
      </c>
      <c r="S39" s="51">
        <f>BNP!F126</f>
        <v>3</v>
      </c>
      <c r="T39" s="51">
        <f>IF('10 yr rate'!$E$27='10 yr rate'!$B$35,'10 yr rate'!$B44,IF('10 yr rate'!$E$27='10 yr rate'!$C$35,'10 yr rate'!$C44,IF('10 yr rate'!$E$27='10 yr rate'!$D$35,'10 yr rate'!$D44,IF('10 yr rate'!$E$27='10 yr rate'!$E$35,'10 yr rate'!$E44,1))))</f>
        <v>2</v>
      </c>
      <c r="U39" s="51">
        <f>IF('CPI(Inflation)'!$E$6='CPI(Inflation)'!$B$33,'CPI(Inflation)'!$B42,IF('CPI(Inflation)'!$E$6='CPI(Inflation)'!$C$33,'CPI(Inflation)'!$C42,IF('CPI(Inflation)'!$E$6='CPI(Inflation)'!$D$33,'CPI(Inflation)'!$D42,IF('CPI(Inflation)'!$E$6='CPI(Inflation)'!$E$33,'CPI(Inflation)'!$E42,1))))</f>
        <v>2</v>
      </c>
      <c r="V39" s="73">
        <f t="shared" si="3"/>
        <v>2.2000000000000002</v>
      </c>
      <c r="W39" s="51">
        <f>IF(PMI!$F$29=PMI!$B$43,PMI!$B52,IF(PMI!$F$29=PMI!$C$43,PMI!$C52,IF(PMI!$F$29=PMI!$D$43,PMI!$D52,IF(PMI!$F$29=PMI!$E$43,PMI!$E52,1))))</f>
        <v>3</v>
      </c>
      <c r="X39" s="51">
        <f>BNP!G126</f>
        <v>1</v>
      </c>
      <c r="Y39" s="51">
        <f>IF('10 yr rate'!$E$28='10 yr rate'!$B$35,'10 yr rate'!$B44,IF('10 yr rate'!$E$28='10 yr rate'!$C$35,'10 yr rate'!$C44,IF('10 yr rate'!$E$28='10 yr rate'!$D$35,'10 yr rate'!$D44,IF('10 yr rate'!$E$28='10 yr rate'!$E$35,'10 yr rate'!$E44,1))))</f>
        <v>2</v>
      </c>
      <c r="Z39" s="51">
        <f>IF('CPI(Inflation)'!$E$7='CPI(Inflation)'!$B$33,'CPI(Inflation)'!$B42,IF('CPI(Inflation)'!$E$7='CPI(Inflation)'!$C$33,'CPI(Inflation)'!$C42,IF('CPI(Inflation)'!$E$7='CPI(Inflation)'!$D$33,'CPI(Inflation)'!$D42,IF('CPI(Inflation)'!$E$7='CPI(Inflation)'!$E$33,'CPI(Inflation)'!$E42,1))))</f>
        <v>2</v>
      </c>
      <c r="AA39" s="73">
        <f t="shared" si="4"/>
        <v>2.1</v>
      </c>
      <c r="AB39" s="51">
        <f>IF(PMI!$F$30=PMI!$B$43,PMI!$B52,IF(PMI!$F$30=PMI!$C$43,PMI!$C52,IF(PMI!$F$30=PMI!$D$43,PMI!$D52,IF(PMI!$F$30=PMI!$E$43,PMI!$E52,1))))</f>
        <v>2</v>
      </c>
      <c r="AC39" s="51">
        <f>BNP!H126</f>
        <v>1</v>
      </c>
      <c r="AD39" s="51">
        <f>IF('10 yr rate'!$E$29='10 yr rate'!$B$35,'10 yr rate'!$B44,IF('10 yr rate'!$E$29='10 yr rate'!$C$35,'10 yr rate'!$C44,IF('10 yr rate'!$E$29='10 yr rate'!$D$35,'10 yr rate'!$D44,IF('10 yr rate'!$E$29='10 yr rate'!$E$35,'10 yr rate'!$E44,1))))</f>
        <v>2</v>
      </c>
      <c r="AE39" s="51">
        <f>IF('CPI(Inflation)'!$E$8='CPI(Inflation)'!$B$33,'CPI(Inflation)'!$B42,IF('CPI(Inflation)'!$E$8='CPI(Inflation)'!$C$33,'CPI(Inflation)'!$C42,IF('CPI(Inflation)'!$E$8='CPI(Inflation)'!$D$33,'CPI(Inflation)'!$D42,IF('CPI(Inflation)'!$E$8='CPI(Inflation)'!$E$33,'CPI(Inflation)'!$E42,1))))</f>
        <v>2</v>
      </c>
      <c r="AF39" s="73">
        <f t="shared" si="5"/>
        <v>1.8000000000000003</v>
      </c>
      <c r="AG39" s="87">
        <f>IF(PMI!$F$31=PMI!$B$43,PMI!$B52,IF(PMI!$F$31=PMI!$C$43,PMI!$C52,IF(PMI!$F$31=PMI!$D$43,PMI!$D52,IF(PMI!$F$31=PMI!$E$43,PMI!$E52,1))))</f>
        <v>3</v>
      </c>
      <c r="AH39" s="51">
        <f>BNP!I126</f>
        <v>3</v>
      </c>
      <c r="AI39" s="51">
        <f>IF('10 yr rate'!$E$30='10 yr rate'!$B$35,'10 yr rate'!$B44,IF('10 yr rate'!$E$30='10 yr rate'!$C$35,'10 yr rate'!$C44,IF('10 yr rate'!$E$30='10 yr rate'!$D$35,'10 yr rate'!$D44,IF('10 yr rate'!$E$30='10 yr rate'!$E$35,'10 yr rate'!$E44,1))))</f>
        <v>3</v>
      </c>
      <c r="AJ39" s="51">
        <f>IF('CPI(Inflation)'!$E$9='CPI(Inflation)'!$B$33,'CPI(Inflation)'!$B42,IF('CPI(Inflation)'!$E$9='CPI(Inflation)'!$C$33,'CPI(Inflation)'!$C42,IF('CPI(Inflation)'!$E$9='CPI(Inflation)'!$D$33,'CPI(Inflation)'!$D42,IF('CPI(Inflation)'!$E$9='CPI(Inflation)'!$E$33,'CPI(Inflation)'!$E42,1))))</f>
        <v>3</v>
      </c>
      <c r="AK39" s="51">
        <f>'Baltic Dry Index'!B42</f>
        <v>2</v>
      </c>
      <c r="AL39" s="51">
        <f>IF(VIX!$F$25=VIX!$B$33,VIX!B42,IF(VIX!$F$25=VIX!$C$33,VIX!C42,IF(VIX!$F$25=VIX!$D$33,VIX!D42,IF(VIX!$F$25=VIX!$E$33,VIX!E42,1))))</f>
        <v>2</v>
      </c>
      <c r="AM39" s="51">
        <f>IF(Currency!$F$25=Currency!$B$33,Currency!B42,IF(Currency!$F$25=Currency!$C$33,Currency!C42,IF(Currency!$F$25=Currency!$D$33,Currency!D42,IF(Currency!$F$25=Currency!$E$33,Currency!E42,1))))</f>
        <v>5</v>
      </c>
      <c r="AN39" s="51">
        <f>IF(Unemployment!$F$25=Unemployment!$B$33,Unemployment!B42,IF(Unemployment!$F$25=Unemployment!$C$33,Unemployment!C42,IF(Unemployment!$F$25=Unemployment!$D$33,Unemployment!D42,IF(Unemployment!$F$25=Unemployment!$E$33,Unemployment!E42,1))))</f>
        <v>2</v>
      </c>
      <c r="AO39" s="90">
        <f t="shared" si="6"/>
        <v>2.8892000000000002</v>
      </c>
      <c r="AP39" s="87">
        <f>IF(PMI!$F$32=PMI!$B$43,PMI!$B52,IF(PMI!$F$32=PMI!$C$43,PMI!$C52,IF(PMI!$F$32=PMI!$D$43,PMI!$D52,IF(PMI!$F$32=PMI!$E$43,PMI!$E52,1))))</f>
        <v>3</v>
      </c>
      <c r="AQ39" s="51">
        <f>BNP!J126</f>
        <v>5</v>
      </c>
      <c r="AR39" s="51">
        <f>IF('10 yr rate'!$E$31='10 yr rate'!$B$35,'10 yr rate'!$B44,IF('10 yr rate'!$E$31='10 yr rate'!$C$35,'10 yr rate'!$C44,IF('10 yr rate'!$E$31='10 yr rate'!$D$35,'10 yr rate'!$D44,IF('10 yr rate'!$E$31='10 yr rate'!$E$35,'10 yr rate'!$E44,1))))</f>
        <v>3</v>
      </c>
      <c r="AS39" s="51">
        <f>IF('CPI(Inflation)'!$E$10='CPI(Inflation)'!$B$33,'CPI(Inflation)'!$B42,IF('CPI(Inflation)'!$E$10='CPI(Inflation)'!$C$33,'CPI(Inflation)'!$C42,IF('CPI(Inflation)'!$E$10='CPI(Inflation)'!$D$33,'CPI(Inflation)'!$D42,IF('CPI(Inflation)'!$E$10='CPI(Inflation)'!$E$33,'CPI(Inflation)'!$E42,1))))</f>
        <v>2</v>
      </c>
      <c r="AT39" s="51">
        <f>'Baltic Dry Index'!B42</f>
        <v>2</v>
      </c>
      <c r="AU39" s="51">
        <f>IF(VIX!$F$26=VIX!$B$33,VIX!B42,IF(VIX!$F$26=VIX!$C$33,VIX!C42,IF(VIX!$F$26=VIX!$D$33,VIX!D42,IF(VIX!$F$26=VIX!$E$33,VIX!E42,1))))</f>
        <v>1</v>
      </c>
      <c r="AV39" s="51">
        <f>IF(Currency!$F$26=Currency!$B$33,Currency!B42,IF(Currency!$F$26=Currency!$C$33,Currency!C42,IF(Currency!$F$26=Currency!$D$33,Currency!D42,IF(Currency!$F$26=Currency!$E$33,Currency!E42,1))))</f>
        <v>3</v>
      </c>
      <c r="AW39" s="51">
        <f>IF(Unemployment!$F$26=Unemployment!$B$33,Unemployment!B42,IF(Unemployment!$F$26=Unemployment!$C$33,Unemployment!C42,IF(Unemployment!$F$26=Unemployment!$D$33,Unemployment!D42,IF(Unemployment!$F$26=Unemployment!$E$33,Unemployment!E42,1))))</f>
        <v>2</v>
      </c>
      <c r="AX39" s="90">
        <f t="shared" si="7"/>
        <v>2.9723000000000002</v>
      </c>
    </row>
    <row r="40" spans="2:89" x14ac:dyDescent="0.3">
      <c r="B40" s="53" t="s">
        <v>18</v>
      </c>
      <c r="C40" s="44">
        <f>IF(PMI!$F$25=PMI!$B$43,PMI!B53,IF(PMI!$F$25=PMI!$C$43,PMI!C53,IF(PMI!$F$25=PMI!$D$43,PMI!D53,IF(PMI!$F$25=PMI!$E$43,PMI!E53,1))))</f>
        <v>3</v>
      </c>
      <c r="D40" s="44">
        <f>BNP!C131</f>
        <v>3</v>
      </c>
      <c r="E40" s="44">
        <f>IF('10 yr rate'!$E$24='10 yr rate'!$B$35,'10 yr rate'!B45,IF('10 yr rate'!$E$24='10 yr rate'!$C$35,'10 yr rate'!C45,IF('10 yr rate'!$E$24='10 yr rate'!$D$35,'10 yr rate'!D45,IF('10 yr rate'!$E$24='10 yr rate'!$E$35,'10 yr rate'!E45,1))))</f>
        <v>3</v>
      </c>
      <c r="F40" s="44">
        <f>IF('CPI(Inflation)'!$E$3='CPI(Inflation)'!$B$33,'CPI(Inflation)'!B43,IF('CPI(Inflation)'!$E$3='CPI(Inflation)'!$C$33,'CPI(Inflation)'!C43,IF('CPI(Inflation)'!$E$3='CPI(Inflation)'!$D$33,'CPI(Inflation)'!D43,IF('CPI(Inflation)'!$E$3='CPI(Inflation)'!$E$33,'CPI(Inflation)'!E43,1))))</f>
        <v>3</v>
      </c>
      <c r="G40" s="73">
        <f t="shared" si="0"/>
        <v>3</v>
      </c>
      <c r="H40" s="51">
        <f>IF(PMI!$F$26=PMI!$B$43,PMI!$B53,IF(PMI!$F$26=PMI!$C$43,PMI!$C53,IF(PMI!$F$26=PMI!$D$43,PMI!$D53,IF(PMI!$F$26=PMI!$E$43,PMI!$E53,1))))</f>
        <v>3</v>
      </c>
      <c r="I40" s="52">
        <f>BNP!H131</f>
        <v>3</v>
      </c>
      <c r="J40" s="51">
        <f>IF('10 yr rate'!$E$25='10 yr rate'!$B$35,'10 yr rate'!$B45,IF('10 yr rate'!$E$25='10 yr rate'!$C$35,'10 yr rate'!$C45,IF('10 yr rate'!$E$25='10 yr rate'!$D$35,'10 yr rate'!$D45,IF('10 yr rate'!$E$25='10 yr rate'!$E$35,'10 yr rate'!$E45,1))))</f>
        <v>4</v>
      </c>
      <c r="K40" s="51">
        <f>IF('CPI(Inflation)'!$E$4='CPI(Inflation)'!$B$33,'CPI(Inflation)'!$B43,IF('CPI(Inflation)'!$E$4='CPI(Inflation)'!$C$33,'CPI(Inflation)'!$C43,IF('CPI(Inflation)'!$E$4='CPI(Inflation)'!$D$33,'CPI(Inflation)'!$D43,IF('CPI(Inflation)'!$E$4='CPI(Inflation)'!$E$33,'CPI(Inflation)'!$E43,1))))</f>
        <v>3</v>
      </c>
      <c r="L40" s="73">
        <f t="shared" si="1"/>
        <v>3.1999999999999997</v>
      </c>
      <c r="M40" s="51">
        <f>IF(PMI!$F$27=PMI!$B$43,PMI!$B53,IF(PMI!$F$27=PMI!$C$43,PMI!$C53,IF(PMI!$F$27=PMI!$D$43,PMI!$D53,IF(PMI!$F$27=PMI!$E$43,PMI!$E53,1))))</f>
        <v>3</v>
      </c>
      <c r="N40" s="51">
        <f>BNP!E131</f>
        <v>3</v>
      </c>
      <c r="O40" s="51">
        <f>IF('10 yr rate'!$E$26='10 yr rate'!$B$35,'10 yr rate'!$B45,IF('10 yr rate'!$E$26='10 yr rate'!$C$35,'10 yr rate'!$C45,IF('10 yr rate'!$E$26='10 yr rate'!$D$35,'10 yr rate'!$D45,IF('10 yr rate'!$E$26='10 yr rate'!$E$35,'10 yr rate'!$E45,1))))</f>
        <v>3</v>
      </c>
      <c r="P40" s="51">
        <f>IF('CPI(Inflation)'!$E$5='CPI(Inflation)'!$B$33,'CPI(Inflation)'!$B43,IF('CPI(Inflation)'!$E$5='CPI(Inflation)'!$C$33,'CPI(Inflation)'!$C43,IF('CPI(Inflation)'!$E$5='CPI(Inflation)'!$D$33,'CPI(Inflation)'!$D43,IF('CPI(Inflation)'!$E$5='CPI(Inflation)'!$E$33,'CPI(Inflation)'!$E43,1))))</f>
        <v>2</v>
      </c>
      <c r="Q40" s="73">
        <f t="shared" si="2"/>
        <v>2.7</v>
      </c>
      <c r="R40" s="51">
        <f>IF(PMI!$F$28=PMI!$B$43,PMI!$B53,IF(PMI!$F$28=PMI!$C$43,PMI!$C53,IF(PMI!$F$28=PMI!$D$43,PMI!$D53,IF(PMI!$F$28=PMI!$E$43,PMI!$E53,1))))</f>
        <v>3</v>
      </c>
      <c r="S40" s="51">
        <f>BNP!F131</f>
        <v>4</v>
      </c>
      <c r="T40" s="51">
        <f>IF('10 yr rate'!$E$27='10 yr rate'!$B$35,'10 yr rate'!$B45,IF('10 yr rate'!$E$27='10 yr rate'!$C$35,'10 yr rate'!$C45,IF('10 yr rate'!$E$27='10 yr rate'!$D$35,'10 yr rate'!$D45,IF('10 yr rate'!$E$27='10 yr rate'!$E$35,'10 yr rate'!$E45,1))))</f>
        <v>3</v>
      </c>
      <c r="U40" s="51">
        <f>IF('CPI(Inflation)'!$E$6='CPI(Inflation)'!$B$33,'CPI(Inflation)'!$B43,IF('CPI(Inflation)'!$E$6='CPI(Inflation)'!$C$33,'CPI(Inflation)'!$C43,IF('CPI(Inflation)'!$E$6='CPI(Inflation)'!$D$33,'CPI(Inflation)'!$D43,IF('CPI(Inflation)'!$E$6='CPI(Inflation)'!$E$33,'CPI(Inflation)'!$E43,1))))</f>
        <v>3</v>
      </c>
      <c r="V40" s="73">
        <f t="shared" si="3"/>
        <v>3.1999999999999997</v>
      </c>
      <c r="W40" s="51">
        <f>IF(PMI!$F$29=PMI!$B$43,PMI!$B53,IF(PMI!$F$29=PMI!$C$43,PMI!$C53,IF(PMI!$F$29=PMI!$D$43,PMI!$D53,IF(PMI!$F$29=PMI!$E$43,PMI!$E53,1))))</f>
        <v>4</v>
      </c>
      <c r="X40" s="51">
        <f>BNP!G131</f>
        <v>2</v>
      </c>
      <c r="Y40" s="51">
        <f>IF('10 yr rate'!$E$28='10 yr rate'!$B$35,'10 yr rate'!$B45,IF('10 yr rate'!$E$28='10 yr rate'!$C$35,'10 yr rate'!$C45,IF('10 yr rate'!$E$28='10 yr rate'!$D$35,'10 yr rate'!$D45,IF('10 yr rate'!$E$28='10 yr rate'!$E$35,'10 yr rate'!$E45,1))))</f>
        <v>3</v>
      </c>
      <c r="Z40" s="51">
        <f>IF('CPI(Inflation)'!$E$7='CPI(Inflation)'!$B$33,'CPI(Inflation)'!$B43,IF('CPI(Inflation)'!$E$7='CPI(Inflation)'!$C$33,'CPI(Inflation)'!$C43,IF('CPI(Inflation)'!$E$7='CPI(Inflation)'!$D$33,'CPI(Inflation)'!$D43,IF('CPI(Inflation)'!$E$7='CPI(Inflation)'!$E$33,'CPI(Inflation)'!$E43,1))))</f>
        <v>3</v>
      </c>
      <c r="AA40" s="73">
        <f t="shared" si="4"/>
        <v>3.1</v>
      </c>
      <c r="AB40" s="51">
        <f>IF(PMI!$F$30=PMI!$B$43,PMI!$B53,IF(PMI!$F$30=PMI!$C$43,PMI!$C53,IF(PMI!$F$30=PMI!$D$43,PMI!$D53,IF(PMI!$F$30=PMI!$E$43,PMI!$E53,1))))</f>
        <v>3</v>
      </c>
      <c r="AC40" s="51">
        <f>BNP!H131</f>
        <v>3</v>
      </c>
      <c r="AD40" s="51">
        <f>IF('10 yr rate'!$E$29='10 yr rate'!$B$35,'10 yr rate'!$B45,IF('10 yr rate'!$E$29='10 yr rate'!$C$35,'10 yr rate'!$C45,IF('10 yr rate'!$E$29='10 yr rate'!$D$35,'10 yr rate'!$D45,IF('10 yr rate'!$E$29='10 yr rate'!$E$35,'10 yr rate'!$E45,1))))</f>
        <v>3</v>
      </c>
      <c r="AE40" s="51">
        <f>IF('CPI(Inflation)'!$E$8='CPI(Inflation)'!$B$33,'CPI(Inflation)'!$B43,IF('CPI(Inflation)'!$E$8='CPI(Inflation)'!$C$33,'CPI(Inflation)'!$C43,IF('CPI(Inflation)'!$E$8='CPI(Inflation)'!$D$33,'CPI(Inflation)'!$D43,IF('CPI(Inflation)'!$E$8='CPI(Inflation)'!$E$33,'CPI(Inflation)'!$E43,1))))</f>
        <v>3</v>
      </c>
      <c r="AF40" s="73">
        <f t="shared" si="5"/>
        <v>3</v>
      </c>
      <c r="AG40" s="87">
        <f>IF(PMI!$F$31=PMI!$B$43,PMI!$B53,IF(PMI!$F$31=PMI!$C$43,PMI!$C53,IF(PMI!$F$31=PMI!$D$43,PMI!$D53,IF(PMI!$F$31=PMI!$E$43,PMI!$E53,1))))</f>
        <v>4</v>
      </c>
      <c r="AH40" s="51">
        <f>BNP!I131</f>
        <v>4</v>
      </c>
      <c r="AI40" s="51">
        <f>IF('10 yr rate'!$E$30='10 yr rate'!$B$35,'10 yr rate'!$B45,IF('10 yr rate'!$E$30='10 yr rate'!$C$35,'10 yr rate'!$C45,IF('10 yr rate'!$E$30='10 yr rate'!$D$35,'10 yr rate'!$D45,IF('10 yr rate'!$E$30='10 yr rate'!$E$35,'10 yr rate'!$E45,1))))</f>
        <v>4</v>
      </c>
      <c r="AJ40" s="51">
        <f>IF('CPI(Inflation)'!$E$9='CPI(Inflation)'!$B$33,'CPI(Inflation)'!$B43,IF('CPI(Inflation)'!$E$9='CPI(Inflation)'!$C$33,'CPI(Inflation)'!$C43,IF('CPI(Inflation)'!$E$9='CPI(Inflation)'!$D$33,'CPI(Inflation)'!$D43,IF('CPI(Inflation)'!$E$9='CPI(Inflation)'!$E$33,'CPI(Inflation)'!$E43,1))))</f>
        <v>4</v>
      </c>
      <c r="AK40" s="51">
        <f>'Baltic Dry Index'!B43</f>
        <v>3</v>
      </c>
      <c r="AL40" s="51">
        <f>IF(VIX!$F$25=VIX!$B$33,VIX!B43,IF(VIX!$F$25=VIX!$C$33,VIX!C43,IF(VIX!$F$25=VIX!$D$33,VIX!D43,IF(VIX!$F$25=VIX!$E$33,VIX!E43,1))))</f>
        <v>3</v>
      </c>
      <c r="AM40" s="51">
        <f>IF(Currency!$F$25=Currency!$B$33,Currency!B43,IF(Currency!$F$25=Currency!$C$33,Currency!C43,IF(Currency!$F$25=Currency!$D$33,Currency!D43,IF(Currency!$F$25=Currency!$E$33,Currency!E43,1))))</f>
        <v>3</v>
      </c>
      <c r="AN40" s="51">
        <f>IF(Unemployment!$F$25=Unemployment!$B$33,Unemployment!B43,IF(Unemployment!$F$25=Unemployment!$C$33,Unemployment!C43,IF(Unemployment!$F$25=Unemployment!$D$33,Unemployment!D43,IF(Unemployment!$F$25=Unemployment!$E$33,Unemployment!E43,1))))</f>
        <v>3</v>
      </c>
      <c r="AO40" s="90">
        <f t="shared" si="6"/>
        <v>3.7224999999999993</v>
      </c>
      <c r="AP40" s="87">
        <f>IF(PMI!$F$32=PMI!$B$43,PMI!$B53,IF(PMI!$F$32=PMI!$C$43,PMI!$C53,IF(PMI!$F$32=PMI!$D$43,PMI!$D53,IF(PMI!$F$32=PMI!$E$43,PMI!$E53,1))))</f>
        <v>4</v>
      </c>
      <c r="AQ40" s="51">
        <f>BNP!J131</f>
        <v>3</v>
      </c>
      <c r="AR40" s="51">
        <f>IF('10 yr rate'!$E$31='10 yr rate'!$B$35,'10 yr rate'!$B45,IF('10 yr rate'!$E$31='10 yr rate'!$C$35,'10 yr rate'!$C45,IF('10 yr rate'!$E$31='10 yr rate'!$D$35,'10 yr rate'!$D45,IF('10 yr rate'!$E$31='10 yr rate'!$E$35,'10 yr rate'!$E45,1))))</f>
        <v>4</v>
      </c>
      <c r="AS40" s="51">
        <f>IF('CPI(Inflation)'!$E$10='CPI(Inflation)'!$B$33,'CPI(Inflation)'!$B43,IF('CPI(Inflation)'!$E$10='CPI(Inflation)'!$C$33,'CPI(Inflation)'!$C43,IF('CPI(Inflation)'!$E$10='CPI(Inflation)'!$D$33,'CPI(Inflation)'!$D43,IF('CPI(Inflation)'!$E$10='CPI(Inflation)'!$E$33,'CPI(Inflation)'!$E43,1))))</f>
        <v>3</v>
      </c>
      <c r="AT40" s="51">
        <f>'Baltic Dry Index'!B43</f>
        <v>3</v>
      </c>
      <c r="AU40" s="51">
        <f>IF(VIX!$F$26=VIX!$B$33,VIX!B43,IF(VIX!$F$26=VIX!$C$33,VIX!C43,IF(VIX!$F$26=VIX!$D$33,VIX!D43,IF(VIX!$F$26=VIX!$E$33,VIX!E43,1))))</f>
        <v>2</v>
      </c>
      <c r="AV40" s="51">
        <f>IF(Currency!$F$26=Currency!$B$33,Currency!B43,IF(Currency!$F$26=Currency!$C$33,Currency!C43,IF(Currency!$F$26=Currency!$D$33,Currency!D43,IF(Currency!$F$26=Currency!$E$33,Currency!E43,1))))</f>
        <v>4</v>
      </c>
      <c r="AW40" s="51">
        <f>IF(Unemployment!$F$26=Unemployment!$B$33,Unemployment!B43,IF(Unemployment!$F$26=Unemployment!$C$33,Unemployment!C43,IF(Unemployment!$F$26=Unemployment!$D$33,Unemployment!D43,IF(Unemployment!$F$26=Unemployment!$E$33,Unemployment!E43,1))))</f>
        <v>3</v>
      </c>
      <c r="AX40" s="90">
        <f t="shared" si="7"/>
        <v>3.3891999999999998</v>
      </c>
    </row>
    <row r="41" spans="2:89" x14ac:dyDescent="0.3">
      <c r="B41" s="54" t="s">
        <v>19</v>
      </c>
      <c r="C41" s="55">
        <f>IF(PMI!$F$25=PMI!$B$43,PMI!B54,IF(PMI!$F$25=PMI!$C$43,PMI!C54,IF(PMI!$F$25=PMI!$D$43,PMI!D54,IF(PMI!$F$25=PMI!$E$43,PMI!E54,1))))</f>
        <v>2</v>
      </c>
      <c r="D41" s="55">
        <f>BNP!C136</f>
        <v>3</v>
      </c>
      <c r="E41" s="55">
        <f>IF('10 yr rate'!$E$24='10 yr rate'!$B$35,'10 yr rate'!B46,IF('10 yr rate'!$E$24='10 yr rate'!$C$35,'10 yr rate'!C46,IF('10 yr rate'!$E$24='10 yr rate'!$D$35,'10 yr rate'!D46,IF('10 yr rate'!$E$24='10 yr rate'!$E$35,'10 yr rate'!E46,1))))</f>
        <v>2</v>
      </c>
      <c r="F41" s="55">
        <f>IF('CPI(Inflation)'!$E$3='CPI(Inflation)'!$B$33,'CPI(Inflation)'!B44,IF('CPI(Inflation)'!$E$3='CPI(Inflation)'!$C$33,'CPI(Inflation)'!C44,IF('CPI(Inflation)'!$E$3='CPI(Inflation)'!$D$33,'CPI(Inflation)'!D44,IF('CPI(Inflation)'!$E$3='CPI(Inflation)'!$E$33,'CPI(Inflation)'!E44,1))))</f>
        <v>2</v>
      </c>
      <c r="G41" s="74">
        <f t="shared" si="0"/>
        <v>2.2000000000000002</v>
      </c>
      <c r="H41" s="56">
        <f>IF(PMI!$F$26=PMI!$B$43,PMI!$B54,IF(PMI!$F$26=PMI!$C$43,PMI!$C54,IF(PMI!$F$26=PMI!$D$43,PMI!$D54,IF(PMI!$F$26=PMI!$E$43,PMI!$E54,1))))</f>
        <v>2</v>
      </c>
      <c r="I41" s="57">
        <f>BNP!H136</f>
        <v>1</v>
      </c>
      <c r="J41" s="56">
        <f>IF('10 yr rate'!$E$25='10 yr rate'!$B$35,'10 yr rate'!$B46,IF('10 yr rate'!$E$25='10 yr rate'!$C$35,'10 yr rate'!$C46,IF('10 yr rate'!$E$25='10 yr rate'!$D$35,'10 yr rate'!$D46,IF('10 yr rate'!$E$25='10 yr rate'!$E$35,'10 yr rate'!$E46,1))))</f>
        <v>2</v>
      </c>
      <c r="K41" s="56">
        <f>IF('CPI(Inflation)'!$E$4='CPI(Inflation)'!$B$33,'CPI(Inflation)'!$B44,IF('CPI(Inflation)'!$E$4='CPI(Inflation)'!$C$33,'CPI(Inflation)'!$C44,IF('CPI(Inflation)'!$E$4='CPI(Inflation)'!$D$33,'CPI(Inflation)'!$D44,IF('CPI(Inflation)'!$E$4='CPI(Inflation)'!$E$33,'CPI(Inflation)'!$E44,1))))</f>
        <v>2</v>
      </c>
      <c r="L41" s="74">
        <f t="shared" si="1"/>
        <v>1.8000000000000003</v>
      </c>
      <c r="M41" s="56">
        <f>IF(PMI!$F$27=PMI!$B$43,PMI!$B54,IF(PMI!$F$27=PMI!$C$43,PMI!$C54,IF(PMI!$F$27=PMI!$D$43,PMI!$D54,IF(PMI!$F$27=PMI!$E$43,PMI!$E54,1))))</f>
        <v>2</v>
      </c>
      <c r="N41" s="56">
        <f>BNP!E136</f>
        <v>4</v>
      </c>
      <c r="O41" s="56">
        <f>IF('10 yr rate'!$E$26='10 yr rate'!$B$35,'10 yr rate'!$B46,IF('10 yr rate'!$E$26='10 yr rate'!$C$35,'10 yr rate'!$C46,IF('10 yr rate'!$E$26='10 yr rate'!$D$35,'10 yr rate'!$D46,IF('10 yr rate'!$E$26='10 yr rate'!$E$35,'10 yr rate'!$E46,1))))</f>
        <v>2</v>
      </c>
      <c r="P41" s="56">
        <f>IF('CPI(Inflation)'!$E$5='CPI(Inflation)'!$B$33,'CPI(Inflation)'!$B44,IF('CPI(Inflation)'!$E$5='CPI(Inflation)'!$C$33,'CPI(Inflation)'!$C44,IF('CPI(Inflation)'!$E$5='CPI(Inflation)'!$D$33,'CPI(Inflation)'!$D44,IF('CPI(Inflation)'!$E$5='CPI(Inflation)'!$E$33,'CPI(Inflation)'!$E44,1))))</f>
        <v>5</v>
      </c>
      <c r="Q41" s="74">
        <f t="shared" si="2"/>
        <v>3.3</v>
      </c>
      <c r="R41" s="56">
        <f>IF(PMI!$F$28=PMI!$B$43,PMI!$B54,IF(PMI!$F$28=PMI!$C$43,PMI!$C54,IF(PMI!$F$28=PMI!$D$43,PMI!$D54,IF(PMI!$F$28=PMI!$E$43,PMI!$E54,1))))</f>
        <v>2</v>
      </c>
      <c r="S41" s="56">
        <f>BNP!F136</f>
        <v>2</v>
      </c>
      <c r="T41" s="56">
        <f>IF('10 yr rate'!$E$27='10 yr rate'!$B$35,'10 yr rate'!$B46,IF('10 yr rate'!$E$27='10 yr rate'!$C$35,'10 yr rate'!$C46,IF('10 yr rate'!$E$27='10 yr rate'!$D$35,'10 yr rate'!$D46,IF('10 yr rate'!$E$27='10 yr rate'!$E$35,'10 yr rate'!$E46,1))))</f>
        <v>2</v>
      </c>
      <c r="U41" s="56">
        <f>IF('CPI(Inflation)'!$E$6='CPI(Inflation)'!$B$33,'CPI(Inflation)'!$B44,IF('CPI(Inflation)'!$E$6='CPI(Inflation)'!$C$33,'CPI(Inflation)'!$C44,IF('CPI(Inflation)'!$E$6='CPI(Inflation)'!$D$33,'CPI(Inflation)'!$D44,IF('CPI(Inflation)'!$E$6='CPI(Inflation)'!$E$33,'CPI(Inflation)'!$E44,1))))</f>
        <v>2</v>
      </c>
      <c r="V41" s="74">
        <f t="shared" si="3"/>
        <v>2</v>
      </c>
      <c r="W41" s="56">
        <f>IF(PMI!$F$29=PMI!$B$43,PMI!$B54,IF(PMI!$F$29=PMI!$C$43,PMI!$C54,IF(PMI!$F$29=PMI!$D$43,PMI!$D54,IF(PMI!$F$29=PMI!$E$43,PMI!$E54,1))))</f>
        <v>2</v>
      </c>
      <c r="X41" s="56">
        <f>BNP!G136</f>
        <v>5</v>
      </c>
      <c r="Y41" s="56">
        <f>IF('10 yr rate'!$E$28='10 yr rate'!$B$35,'10 yr rate'!$B46,IF('10 yr rate'!$E$28='10 yr rate'!$C$35,'10 yr rate'!$C46,IF('10 yr rate'!$E$28='10 yr rate'!$D$35,'10 yr rate'!$D46,IF('10 yr rate'!$E$28='10 yr rate'!$E$35,'10 yr rate'!$E46,1))))</f>
        <v>2</v>
      </c>
      <c r="Z41" s="56">
        <f>IF('CPI(Inflation)'!$E$7='CPI(Inflation)'!$B$33,'CPI(Inflation)'!$B44,IF('CPI(Inflation)'!$E$7='CPI(Inflation)'!$C$33,'CPI(Inflation)'!$C44,IF('CPI(Inflation)'!$E$7='CPI(Inflation)'!$D$33,'CPI(Inflation)'!$D44,IF('CPI(Inflation)'!$E$7='CPI(Inflation)'!$E$33,'CPI(Inflation)'!$E44,1))))</f>
        <v>2</v>
      </c>
      <c r="AA41" s="74">
        <f t="shared" si="4"/>
        <v>2.6</v>
      </c>
      <c r="AB41" s="56">
        <f>IF(PMI!$F$30=PMI!$B$43,PMI!$B54,IF(PMI!$F$30=PMI!$C$43,PMI!$C54,IF(PMI!$F$30=PMI!$D$43,PMI!$D54,IF(PMI!$F$30=PMI!$E$43,PMI!$E54,1))))</f>
        <v>2</v>
      </c>
      <c r="AC41" s="56">
        <f>BNP!H136</f>
        <v>1</v>
      </c>
      <c r="AD41" s="56">
        <f>IF('10 yr rate'!$E$29='10 yr rate'!$B$35,'10 yr rate'!$B46,IF('10 yr rate'!$E$29='10 yr rate'!$C$35,'10 yr rate'!$C46,IF('10 yr rate'!$E$29='10 yr rate'!$D$35,'10 yr rate'!$D46,IF('10 yr rate'!$E$29='10 yr rate'!$E$35,'10 yr rate'!$E46,1))))</f>
        <v>2</v>
      </c>
      <c r="AE41" s="56">
        <f>IF('CPI(Inflation)'!$E$8='CPI(Inflation)'!$B$33,'CPI(Inflation)'!$B44,IF('CPI(Inflation)'!$E$8='CPI(Inflation)'!$C$33,'CPI(Inflation)'!$C44,IF('CPI(Inflation)'!$E$8='CPI(Inflation)'!$D$33,'CPI(Inflation)'!$D44,IF('CPI(Inflation)'!$E$8='CPI(Inflation)'!$E$33,'CPI(Inflation)'!$E44,1))))</f>
        <v>2</v>
      </c>
      <c r="AF41" s="74">
        <f t="shared" si="5"/>
        <v>1.8000000000000003</v>
      </c>
      <c r="AG41" s="88">
        <f>IF(PMI!$F$31=PMI!$B$43,PMI!$B54,IF(PMI!$F$31=PMI!$C$43,PMI!$C54,IF(PMI!$F$31=PMI!$D$43,PMI!$D54,IF(PMI!$F$31=PMI!$E$43,PMI!$E54,1))))</f>
        <v>2</v>
      </c>
      <c r="AH41" s="56">
        <f>BNP!I136</f>
        <v>2</v>
      </c>
      <c r="AI41" s="56">
        <f>IF('10 yr rate'!$E$30='10 yr rate'!$B$35,'10 yr rate'!$B46,IF('10 yr rate'!$E$30='10 yr rate'!$C$35,'10 yr rate'!$C46,IF('10 yr rate'!$E$30='10 yr rate'!$D$35,'10 yr rate'!$D46,IF('10 yr rate'!$E$30='10 yr rate'!$E$35,'10 yr rate'!$E46,1))))</f>
        <v>2</v>
      </c>
      <c r="AJ41" s="56">
        <f>IF('CPI(Inflation)'!$E$9='CPI(Inflation)'!$B$33,'CPI(Inflation)'!$B44,IF('CPI(Inflation)'!$E$9='CPI(Inflation)'!$C$33,'CPI(Inflation)'!$C44,IF('CPI(Inflation)'!$E$9='CPI(Inflation)'!$D$33,'CPI(Inflation)'!$D44,IF('CPI(Inflation)'!$E$9='CPI(Inflation)'!$E$33,'CPI(Inflation)'!$E44,1))))</f>
        <v>2</v>
      </c>
      <c r="AK41" s="56">
        <f>'Baltic Dry Index'!B44</f>
        <v>2</v>
      </c>
      <c r="AL41" s="56">
        <f>IF(VIX!$F$25=VIX!$B$33,VIX!B44,IF(VIX!$F$25=VIX!$C$33,VIX!C44,IF(VIX!$F$25=VIX!$D$33,VIX!D44,IF(VIX!$F$25=VIX!$E$33,VIX!E44,1))))</f>
        <v>2</v>
      </c>
      <c r="AM41" s="56">
        <f>IF(Currency!$F$25=Currency!$B$33,Currency!B44,IF(Currency!$F$25=Currency!$C$33,Currency!C44,IF(Currency!$F$25=Currency!$D$33,Currency!D44,IF(Currency!$F$25=Currency!$E$33,Currency!E44,1))))</f>
        <v>4</v>
      </c>
      <c r="AN41" s="56">
        <f>IF(Unemployment!$F$25=Unemployment!$B$33,Unemployment!B44,IF(Unemployment!$F$25=Unemployment!$C$33,Unemployment!C44,IF(Unemployment!$F$25=Unemployment!$D$33,Unemployment!D44,IF(Unemployment!$F$25=Unemployment!$E$33,Unemployment!E44,1))))</f>
        <v>2</v>
      </c>
      <c r="AO41" s="91">
        <f t="shared" si="6"/>
        <v>2.1113999999999997</v>
      </c>
      <c r="AP41" s="88">
        <f>IF(PMI!$F$32=PMI!$B$43,PMI!$B54,IF(PMI!$F$32=PMI!$C$43,PMI!$C54,IF(PMI!$F$32=PMI!$D$43,PMI!$D54,IF(PMI!$F$32=PMI!$E$43,PMI!$E54,1))))</f>
        <v>2</v>
      </c>
      <c r="AQ41" s="56">
        <f>BNP!J136</f>
        <v>4</v>
      </c>
      <c r="AR41" s="56">
        <f>IF('10 yr rate'!$E$31='10 yr rate'!$B$35,'10 yr rate'!$B46,IF('10 yr rate'!$E$31='10 yr rate'!$C$35,'10 yr rate'!$C46,IF('10 yr rate'!$E$31='10 yr rate'!$D$35,'10 yr rate'!$D46,IF('10 yr rate'!$E$31='10 yr rate'!$E$35,'10 yr rate'!$E46,1))))</f>
        <v>2</v>
      </c>
      <c r="AS41" s="56">
        <f>IF('CPI(Inflation)'!$E$10='CPI(Inflation)'!$B$33,'CPI(Inflation)'!$B44,IF('CPI(Inflation)'!$E$10='CPI(Inflation)'!$C$33,'CPI(Inflation)'!$C44,IF('CPI(Inflation)'!$E$10='CPI(Inflation)'!$D$33,'CPI(Inflation)'!$D44,IF('CPI(Inflation)'!$E$10='CPI(Inflation)'!$E$33,'CPI(Inflation)'!$E44,1))))</f>
        <v>2</v>
      </c>
      <c r="AT41" s="56">
        <f>'Baltic Dry Index'!B44</f>
        <v>2</v>
      </c>
      <c r="AU41" s="56">
        <f>IF(VIX!$F$26=VIX!$B$33,VIX!B44,IF(VIX!$F$26=VIX!$C$33,VIX!C44,IF(VIX!$F$26=VIX!$D$33,VIX!D44,IF(VIX!$F$26=VIX!$E$33,VIX!E44,1))))</f>
        <v>5</v>
      </c>
      <c r="AV41" s="56">
        <f>IF(Currency!$F$26=Currency!$B$33,Currency!B44,IF(Currency!$F$26=Currency!$C$33,Currency!C44,IF(Currency!$F$26=Currency!$D$33,Currency!D44,IF(Currency!$F$26=Currency!$E$33,Currency!E44,1))))</f>
        <v>2</v>
      </c>
      <c r="AW41" s="56">
        <f>IF(Unemployment!$F$26=Unemployment!$B$33,Unemployment!B44,IF(Unemployment!$F$26=Unemployment!$C$33,Unemployment!C44,IF(Unemployment!$F$26=Unemployment!$D$33,Unemployment!D44,IF(Unemployment!$F$26=Unemployment!$E$33,Unemployment!E44,1))))</f>
        <v>2</v>
      </c>
      <c r="AX41" s="91">
        <f t="shared" si="7"/>
        <v>2.5558000000000001</v>
      </c>
    </row>
    <row r="42" spans="2:89" ht="15" customHeight="1" thickBot="1" x14ac:dyDescent="0.35"/>
    <row r="43" spans="2:89" x14ac:dyDescent="0.3">
      <c r="B43" s="58"/>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60"/>
      <c r="BL43" s="58"/>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60"/>
    </row>
    <row r="44" spans="2:89" x14ac:dyDescent="0.3">
      <c r="B44" s="61"/>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3"/>
      <c r="BL44" s="61"/>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3"/>
    </row>
    <row r="45" spans="2:89" x14ac:dyDescent="0.3">
      <c r="B45" s="61"/>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3"/>
      <c r="BL45" s="61"/>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3"/>
    </row>
    <row r="46" spans="2:89" x14ac:dyDescent="0.3">
      <c r="B46" s="61"/>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3"/>
      <c r="BL46" s="61"/>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3"/>
    </row>
    <row r="47" spans="2:89" x14ac:dyDescent="0.3">
      <c r="B47" s="61"/>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3"/>
      <c r="BL47" s="61"/>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3"/>
    </row>
    <row r="48" spans="2:89" x14ac:dyDescent="0.3">
      <c r="B48" s="61"/>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3"/>
      <c r="BL48" s="61"/>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3"/>
    </row>
    <row r="49" spans="2:89" x14ac:dyDescent="0.3">
      <c r="B49" s="61"/>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62"/>
      <c r="AG49" s="62"/>
      <c r="AH49" s="62"/>
      <c r="AI49" s="62"/>
      <c r="AJ49" s="62"/>
      <c r="AK49" s="62"/>
      <c r="AL49" s="62"/>
      <c r="AM49" s="62"/>
      <c r="AN49" s="62"/>
      <c r="AO49" s="62"/>
      <c r="AP49" s="62"/>
      <c r="AQ49" s="62"/>
      <c r="AR49" s="62"/>
      <c r="AS49" s="62"/>
      <c r="AT49" s="62"/>
      <c r="AU49" s="62"/>
      <c r="AV49" s="62"/>
      <c r="AW49" s="62"/>
      <c r="AX49" s="62"/>
      <c r="AY49" s="62"/>
      <c r="AZ49" s="62"/>
      <c r="BA49" s="62"/>
      <c r="BB49" s="62"/>
      <c r="BC49" s="62"/>
      <c r="BD49" s="62"/>
      <c r="BE49" s="62"/>
      <c r="BF49" s="62"/>
      <c r="BG49" s="62"/>
      <c r="BH49" s="62"/>
      <c r="BI49" s="62"/>
      <c r="BJ49" s="63"/>
      <c r="BL49" s="61"/>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3"/>
    </row>
    <row r="50" spans="2:89" x14ac:dyDescent="0.3">
      <c r="B50" s="61"/>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62"/>
      <c r="BF50" s="62"/>
      <c r="BG50" s="62"/>
      <c r="BH50" s="62"/>
      <c r="BI50" s="62"/>
      <c r="BJ50" s="63"/>
      <c r="BL50" s="61"/>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3"/>
    </row>
    <row r="51" spans="2:89" x14ac:dyDescent="0.3">
      <c r="B51" s="61"/>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3"/>
      <c r="BL51" s="61"/>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3"/>
    </row>
    <row r="52" spans="2:89" x14ac:dyDescent="0.3">
      <c r="B52" s="61"/>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62"/>
      <c r="AG52" s="62"/>
      <c r="AH52" s="62"/>
      <c r="AI52" s="62"/>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3"/>
      <c r="BL52" s="61"/>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3"/>
    </row>
    <row r="53" spans="2:89" x14ac:dyDescent="0.3">
      <c r="B53" s="61"/>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3"/>
      <c r="BL53" s="61"/>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3"/>
    </row>
    <row r="54" spans="2:89" x14ac:dyDescent="0.3">
      <c r="B54" s="61"/>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3"/>
      <c r="BL54" s="61"/>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3"/>
    </row>
    <row r="55" spans="2:89" x14ac:dyDescent="0.3">
      <c r="B55" s="61"/>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3"/>
      <c r="BL55" s="61"/>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3"/>
    </row>
    <row r="56" spans="2:89" x14ac:dyDescent="0.3">
      <c r="B56" s="61"/>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62"/>
      <c r="AG56" s="62"/>
      <c r="AH56" s="62"/>
      <c r="AI56" s="62"/>
      <c r="AJ56" s="62"/>
      <c r="AK56" s="62"/>
      <c r="AL56" s="62"/>
      <c r="AM56" s="62"/>
      <c r="AN56" s="62"/>
      <c r="AO56" s="62"/>
      <c r="AP56" s="62"/>
      <c r="AQ56" s="62"/>
      <c r="AR56" s="62"/>
      <c r="AS56" s="62"/>
      <c r="AT56" s="62"/>
      <c r="AU56" s="62"/>
      <c r="AV56" s="62"/>
      <c r="AW56" s="62"/>
      <c r="AX56" s="62"/>
      <c r="AY56" s="62"/>
      <c r="AZ56" s="62"/>
      <c r="BA56" s="62"/>
      <c r="BB56" s="62"/>
      <c r="BC56" s="62"/>
      <c r="BD56" s="62"/>
      <c r="BE56" s="62"/>
      <c r="BF56" s="62"/>
      <c r="BG56" s="62"/>
      <c r="BH56" s="62"/>
      <c r="BI56" s="62"/>
      <c r="BJ56" s="63"/>
      <c r="BL56" s="61"/>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3"/>
    </row>
    <row r="57" spans="2:89" x14ac:dyDescent="0.3">
      <c r="B57" s="61"/>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3"/>
      <c r="BL57" s="61"/>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3"/>
    </row>
    <row r="58" spans="2:89" x14ac:dyDescent="0.3">
      <c r="B58" s="61"/>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62"/>
      <c r="AS58" s="62"/>
      <c r="AT58" s="62"/>
      <c r="AU58" s="62"/>
      <c r="AV58" s="62"/>
      <c r="AW58" s="62"/>
      <c r="AX58" s="62"/>
      <c r="AY58" s="62"/>
      <c r="AZ58" s="62"/>
      <c r="BA58" s="62"/>
      <c r="BB58" s="62"/>
      <c r="BC58" s="62"/>
      <c r="BD58" s="62"/>
      <c r="BE58" s="62"/>
      <c r="BF58" s="62"/>
      <c r="BG58" s="62"/>
      <c r="BH58" s="62"/>
      <c r="BI58" s="62"/>
      <c r="BJ58" s="63"/>
      <c r="BL58" s="61"/>
      <c r="BM58" s="62"/>
      <c r="BN58" s="62"/>
      <c r="BO58" s="62"/>
      <c r="BP58" s="62"/>
      <c r="BQ58" s="62"/>
      <c r="BR58" s="62"/>
      <c r="BS58" s="62"/>
      <c r="BT58" s="62"/>
      <c r="BU58" s="62"/>
      <c r="BV58" s="62"/>
      <c r="BW58" s="62"/>
      <c r="BX58" s="62"/>
      <c r="BY58" s="62"/>
      <c r="BZ58" s="62"/>
      <c r="CA58" s="62"/>
      <c r="CB58" s="62"/>
      <c r="CC58" s="62"/>
      <c r="CD58" s="62"/>
      <c r="CE58" s="62"/>
      <c r="CF58" s="62"/>
      <c r="CG58" s="62"/>
      <c r="CH58" s="62"/>
      <c r="CI58" s="62"/>
      <c r="CJ58" s="62"/>
      <c r="CK58" s="63"/>
    </row>
    <row r="59" spans="2:89" x14ac:dyDescent="0.3">
      <c r="B59" s="61"/>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3"/>
      <c r="BL59" s="61"/>
      <c r="BM59" s="62"/>
      <c r="BN59" s="62"/>
      <c r="BO59" s="62"/>
      <c r="BP59" s="62"/>
      <c r="BQ59" s="62"/>
      <c r="BR59" s="62"/>
      <c r="BS59" s="62"/>
      <c r="BT59" s="62"/>
      <c r="BU59" s="62"/>
      <c r="BV59" s="62"/>
      <c r="BW59" s="62"/>
      <c r="BX59" s="62"/>
      <c r="BY59" s="62"/>
      <c r="BZ59" s="62"/>
      <c r="CA59" s="62"/>
      <c r="CB59" s="62"/>
      <c r="CC59" s="62"/>
      <c r="CD59" s="62"/>
      <c r="CE59" s="62"/>
      <c r="CF59" s="62"/>
      <c r="CG59" s="62"/>
      <c r="CH59" s="62"/>
      <c r="CI59" s="62"/>
      <c r="CJ59" s="62"/>
      <c r="CK59" s="63"/>
    </row>
    <row r="60" spans="2:89" x14ac:dyDescent="0.3">
      <c r="B60" s="61"/>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62"/>
      <c r="AS60" s="62"/>
      <c r="AT60" s="62"/>
      <c r="AU60" s="62"/>
      <c r="AV60" s="62"/>
      <c r="AW60" s="62"/>
      <c r="AX60" s="62"/>
      <c r="AY60" s="62"/>
      <c r="AZ60" s="62"/>
      <c r="BA60" s="62"/>
      <c r="BB60" s="62"/>
      <c r="BC60" s="62"/>
      <c r="BD60" s="62"/>
      <c r="BE60" s="62"/>
      <c r="BF60" s="62"/>
      <c r="BG60" s="62"/>
      <c r="BH60" s="62"/>
      <c r="BI60" s="62"/>
      <c r="BJ60" s="63"/>
      <c r="BL60" s="61"/>
      <c r="BM60" s="62"/>
      <c r="BN60" s="62"/>
      <c r="BO60" s="62"/>
      <c r="BP60" s="62"/>
      <c r="BQ60" s="62"/>
      <c r="BR60" s="62"/>
      <c r="BS60" s="62"/>
      <c r="BT60" s="62"/>
      <c r="BU60" s="62"/>
      <c r="BV60" s="62"/>
      <c r="BW60" s="62"/>
      <c r="BX60" s="62"/>
      <c r="BY60" s="62"/>
      <c r="BZ60" s="62"/>
      <c r="CA60" s="62"/>
      <c r="CB60" s="62"/>
      <c r="CC60" s="62"/>
      <c r="CD60" s="62"/>
      <c r="CE60" s="62"/>
      <c r="CF60" s="62"/>
      <c r="CG60" s="62"/>
      <c r="CH60" s="62"/>
      <c r="CI60" s="62"/>
      <c r="CJ60" s="62"/>
      <c r="CK60" s="63"/>
    </row>
    <row r="61" spans="2:89" x14ac:dyDescent="0.3">
      <c r="B61" s="61"/>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c r="AE61" s="62"/>
      <c r="AF61" s="62"/>
      <c r="AG61" s="62"/>
      <c r="AH61" s="62"/>
      <c r="AI61" s="62"/>
      <c r="AJ61" s="62"/>
      <c r="AK61" s="62"/>
      <c r="AL61" s="62"/>
      <c r="AM61" s="62"/>
      <c r="AN61" s="62"/>
      <c r="AO61" s="62"/>
      <c r="AP61" s="62"/>
      <c r="AQ61" s="62"/>
      <c r="AR61" s="62"/>
      <c r="AS61" s="62"/>
      <c r="AT61" s="62"/>
      <c r="AU61" s="62"/>
      <c r="AV61" s="62"/>
      <c r="AW61" s="62"/>
      <c r="AX61" s="62"/>
      <c r="AY61" s="62"/>
      <c r="AZ61" s="62"/>
      <c r="BA61" s="62"/>
      <c r="BB61" s="62"/>
      <c r="BC61" s="62"/>
      <c r="BD61" s="62"/>
      <c r="BE61" s="62"/>
      <c r="BF61" s="62"/>
      <c r="BG61" s="62"/>
      <c r="BH61" s="62"/>
      <c r="BI61" s="62"/>
      <c r="BJ61" s="63"/>
      <c r="BL61" s="61"/>
      <c r="BM61" s="62"/>
      <c r="BN61" s="62"/>
      <c r="BO61" s="62"/>
      <c r="BP61" s="62"/>
      <c r="BQ61" s="62"/>
      <c r="BR61" s="62"/>
      <c r="BS61" s="62"/>
      <c r="BT61" s="62"/>
      <c r="BU61" s="62"/>
      <c r="BV61" s="62"/>
      <c r="BW61" s="62"/>
      <c r="BX61" s="62"/>
      <c r="BY61" s="62"/>
      <c r="BZ61" s="62"/>
      <c r="CA61" s="62"/>
      <c r="CB61" s="62"/>
      <c r="CC61" s="62"/>
      <c r="CD61" s="62"/>
      <c r="CE61" s="62"/>
      <c r="CF61" s="62"/>
      <c r="CG61" s="62"/>
      <c r="CH61" s="62"/>
      <c r="CI61" s="62"/>
      <c r="CJ61" s="62"/>
      <c r="CK61" s="63"/>
    </row>
    <row r="62" spans="2:89" x14ac:dyDescent="0.3">
      <c r="B62" s="61"/>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62"/>
      <c r="AF62" s="62"/>
      <c r="AG62" s="62"/>
      <c r="AH62" s="62"/>
      <c r="AI62" s="62"/>
      <c r="AJ62" s="62"/>
      <c r="AK62" s="62"/>
      <c r="AL62" s="62"/>
      <c r="AM62" s="62"/>
      <c r="AN62" s="62"/>
      <c r="AO62" s="62"/>
      <c r="AP62" s="62"/>
      <c r="AQ62" s="62"/>
      <c r="AR62" s="62"/>
      <c r="AS62" s="62"/>
      <c r="AT62" s="62"/>
      <c r="AU62" s="62"/>
      <c r="AV62" s="62"/>
      <c r="AW62" s="62"/>
      <c r="AX62" s="62"/>
      <c r="AY62" s="62"/>
      <c r="AZ62" s="62"/>
      <c r="BA62" s="62"/>
      <c r="BB62" s="62"/>
      <c r="BC62" s="62"/>
      <c r="BD62" s="62"/>
      <c r="BE62" s="62"/>
      <c r="BF62" s="62"/>
      <c r="BG62" s="62"/>
      <c r="BH62" s="62"/>
      <c r="BI62" s="62"/>
      <c r="BJ62" s="63"/>
      <c r="BL62" s="61"/>
      <c r="BM62" s="62"/>
      <c r="BN62" s="62"/>
      <c r="BO62" s="62"/>
      <c r="BP62" s="62"/>
      <c r="BQ62" s="62"/>
      <c r="BR62" s="62"/>
      <c r="BS62" s="62"/>
      <c r="BT62" s="62"/>
      <c r="BU62" s="62"/>
      <c r="BV62" s="62"/>
      <c r="BW62" s="62"/>
      <c r="BX62" s="62"/>
      <c r="BY62" s="62"/>
      <c r="BZ62" s="62"/>
      <c r="CA62" s="62"/>
      <c r="CB62" s="62"/>
      <c r="CC62" s="62"/>
      <c r="CD62" s="62"/>
      <c r="CE62" s="62"/>
      <c r="CF62" s="62"/>
      <c r="CG62" s="62"/>
      <c r="CH62" s="62"/>
      <c r="CI62" s="62"/>
      <c r="CJ62" s="62"/>
      <c r="CK62" s="63"/>
    </row>
    <row r="63" spans="2:89" x14ac:dyDescent="0.3">
      <c r="B63" s="61"/>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3"/>
      <c r="BL63" s="61"/>
      <c r="BM63" s="62"/>
      <c r="BN63" s="62"/>
      <c r="BO63" s="62"/>
      <c r="BP63" s="62"/>
      <c r="BQ63" s="62"/>
      <c r="BR63" s="62"/>
      <c r="BS63" s="62"/>
      <c r="BT63" s="62"/>
      <c r="BU63" s="62"/>
      <c r="BV63" s="62"/>
      <c r="BW63" s="62"/>
      <c r="BX63" s="62"/>
      <c r="BY63" s="62"/>
      <c r="BZ63" s="62"/>
      <c r="CA63" s="62"/>
      <c r="CB63" s="62"/>
      <c r="CC63" s="62"/>
      <c r="CD63" s="62"/>
      <c r="CE63" s="62"/>
      <c r="CF63" s="62"/>
      <c r="CG63" s="62"/>
      <c r="CH63" s="62"/>
      <c r="CI63" s="62"/>
      <c r="CJ63" s="62"/>
      <c r="CK63" s="63"/>
    </row>
    <row r="64" spans="2:89" x14ac:dyDescent="0.3">
      <c r="B64" s="61"/>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3"/>
      <c r="BL64" s="61"/>
      <c r="BM64" s="62"/>
      <c r="BN64" s="62"/>
      <c r="BO64" s="62"/>
      <c r="BP64" s="62"/>
      <c r="BQ64" s="62"/>
      <c r="BR64" s="62"/>
      <c r="BS64" s="62"/>
      <c r="BT64" s="62"/>
      <c r="BU64" s="62"/>
      <c r="BV64" s="62"/>
      <c r="BW64" s="62"/>
      <c r="BX64" s="62"/>
      <c r="BY64" s="62"/>
      <c r="BZ64" s="62"/>
      <c r="CA64" s="62"/>
      <c r="CB64" s="62"/>
      <c r="CC64" s="62"/>
      <c r="CD64" s="62"/>
      <c r="CE64" s="62"/>
      <c r="CF64" s="62"/>
      <c r="CG64" s="62"/>
      <c r="CH64" s="62"/>
      <c r="CI64" s="62"/>
      <c r="CJ64" s="62"/>
      <c r="CK64" s="63"/>
    </row>
    <row r="65" spans="2:89" x14ac:dyDescent="0.3">
      <c r="B65" s="61"/>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R65" s="62"/>
      <c r="AS65" s="62"/>
      <c r="AT65" s="62"/>
      <c r="AU65" s="62"/>
      <c r="AV65" s="62"/>
      <c r="AW65" s="62"/>
      <c r="AX65" s="62"/>
      <c r="AY65" s="62"/>
      <c r="AZ65" s="62"/>
      <c r="BA65" s="62"/>
      <c r="BB65" s="62"/>
      <c r="BC65" s="62"/>
      <c r="BD65" s="62"/>
      <c r="BE65" s="62"/>
      <c r="BF65" s="62"/>
      <c r="BG65" s="62"/>
      <c r="BH65" s="62"/>
      <c r="BI65" s="62"/>
      <c r="BJ65" s="63"/>
      <c r="BL65" s="61"/>
      <c r="BM65" s="62"/>
      <c r="BN65" s="62"/>
      <c r="BO65" s="62"/>
      <c r="BP65" s="62"/>
      <c r="BQ65" s="62"/>
      <c r="BR65" s="62"/>
      <c r="BS65" s="62"/>
      <c r="BT65" s="62"/>
      <c r="BU65" s="62"/>
      <c r="BV65" s="62"/>
      <c r="BW65" s="62"/>
      <c r="BX65" s="62"/>
      <c r="BY65" s="62"/>
      <c r="BZ65" s="62"/>
      <c r="CA65" s="62"/>
      <c r="CB65" s="62"/>
      <c r="CC65" s="62"/>
      <c r="CD65" s="62"/>
      <c r="CE65" s="62"/>
      <c r="CF65" s="62"/>
      <c r="CG65" s="62"/>
      <c r="CH65" s="62"/>
      <c r="CI65" s="62"/>
      <c r="CJ65" s="62"/>
      <c r="CK65" s="63"/>
    </row>
    <row r="66" spans="2:89" x14ac:dyDescent="0.3">
      <c r="B66" s="61"/>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62"/>
      <c r="AG66" s="62"/>
      <c r="AH66" s="62"/>
      <c r="AI66" s="62"/>
      <c r="AJ66" s="62"/>
      <c r="AK66" s="62"/>
      <c r="AL66" s="62"/>
      <c r="AM66" s="62"/>
      <c r="AN66" s="62"/>
      <c r="AO66" s="62"/>
      <c r="AP66" s="62"/>
      <c r="AQ66" s="62"/>
      <c r="AR66" s="62"/>
      <c r="AS66" s="62"/>
      <c r="AT66" s="62"/>
      <c r="AU66" s="62"/>
      <c r="AV66" s="62"/>
      <c r="AW66" s="62"/>
      <c r="AX66" s="62"/>
      <c r="AY66" s="62"/>
      <c r="AZ66" s="62"/>
      <c r="BA66" s="62"/>
      <c r="BB66" s="62"/>
      <c r="BC66" s="62"/>
      <c r="BD66" s="62"/>
      <c r="BE66" s="62"/>
      <c r="BF66" s="62"/>
      <c r="BG66" s="62"/>
      <c r="BH66" s="62"/>
      <c r="BI66" s="62"/>
      <c r="BJ66" s="63"/>
      <c r="BL66" s="61"/>
      <c r="BM66" s="62"/>
      <c r="BN66" s="62"/>
      <c r="BO66" s="62"/>
      <c r="BP66" s="62"/>
      <c r="BQ66" s="62"/>
      <c r="BR66" s="62"/>
      <c r="BS66" s="62"/>
      <c r="BT66" s="62"/>
      <c r="BU66" s="62"/>
      <c r="BV66" s="62"/>
      <c r="BW66" s="62"/>
      <c r="BX66" s="62"/>
      <c r="BY66" s="62"/>
      <c r="BZ66" s="62"/>
      <c r="CA66" s="62"/>
      <c r="CB66" s="62"/>
      <c r="CC66" s="62"/>
      <c r="CD66" s="62"/>
      <c r="CE66" s="62"/>
      <c r="CF66" s="62"/>
      <c r="CG66" s="62"/>
      <c r="CH66" s="62"/>
      <c r="CI66" s="62"/>
      <c r="CJ66" s="62"/>
      <c r="CK66" s="63"/>
    </row>
    <row r="67" spans="2:89" ht="15" customHeight="1" thickBot="1" x14ac:dyDescent="0.35">
      <c r="B67" s="64"/>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65"/>
      <c r="BB67" s="65"/>
      <c r="BC67" s="65"/>
      <c r="BD67" s="65"/>
      <c r="BE67" s="65"/>
      <c r="BF67" s="65"/>
      <c r="BG67" s="65"/>
      <c r="BH67" s="65"/>
      <c r="BI67" s="65"/>
      <c r="BJ67" s="66"/>
      <c r="BL67" s="64"/>
      <c r="BM67" s="65"/>
      <c r="BN67" s="65"/>
      <c r="BO67" s="65"/>
      <c r="BP67" s="65"/>
      <c r="BQ67" s="65"/>
      <c r="BR67" s="65"/>
      <c r="BS67" s="65"/>
      <c r="BT67" s="65"/>
      <c r="BU67" s="65"/>
      <c r="BV67" s="65"/>
      <c r="BW67" s="65"/>
      <c r="BX67" s="65"/>
      <c r="BY67" s="65"/>
      <c r="BZ67" s="65"/>
      <c r="CA67" s="65"/>
      <c r="CB67" s="65"/>
      <c r="CC67" s="65"/>
      <c r="CD67" s="65"/>
      <c r="CE67" s="65"/>
      <c r="CF67" s="65"/>
      <c r="CG67" s="65"/>
      <c r="CH67" s="65"/>
      <c r="CI67" s="65"/>
      <c r="CJ67" s="65"/>
      <c r="CK67" s="66"/>
    </row>
    <row r="69" spans="2:89" x14ac:dyDescent="0.3">
      <c r="C69" s="45" t="s">
        <v>103</v>
      </c>
      <c r="D69" s="45"/>
      <c r="E69" s="45"/>
      <c r="F69" s="45"/>
      <c r="G69" s="46" t="s">
        <v>103</v>
      </c>
      <c r="H69" s="47"/>
      <c r="I69" s="47"/>
      <c r="J69" s="47"/>
      <c r="K69" s="47"/>
      <c r="L69" s="46" t="s">
        <v>104</v>
      </c>
      <c r="M69" s="47"/>
      <c r="N69" s="47"/>
      <c r="O69" s="47"/>
      <c r="P69" s="47"/>
      <c r="Q69" s="46" t="s">
        <v>105</v>
      </c>
      <c r="R69" s="48"/>
      <c r="S69" s="48"/>
      <c r="T69" s="48"/>
      <c r="U69" s="48"/>
      <c r="V69" s="45" t="s">
        <v>106</v>
      </c>
      <c r="W69" s="48"/>
      <c r="X69" s="48"/>
      <c r="Y69" s="48"/>
      <c r="Z69" s="48"/>
      <c r="AA69" s="45" t="s">
        <v>107</v>
      </c>
      <c r="AB69" s="48"/>
      <c r="AC69" s="48"/>
      <c r="AD69" s="48"/>
      <c r="AE69" s="48"/>
      <c r="AF69" s="45" t="s">
        <v>108</v>
      </c>
      <c r="AG69" s="45"/>
      <c r="AH69" s="45"/>
      <c r="AI69" s="45"/>
      <c r="AJ69" s="45"/>
      <c r="AK69" s="45"/>
      <c r="AL69" s="45"/>
      <c r="AM69" s="45"/>
      <c r="AN69" s="45"/>
      <c r="AO69" s="45" t="s">
        <v>91</v>
      </c>
      <c r="AP69" s="45"/>
      <c r="AX69" s="45" t="s">
        <v>92</v>
      </c>
    </row>
    <row r="70" spans="2:89" ht="18" customHeight="1" x14ac:dyDescent="0.35">
      <c r="B70" s="49" t="s">
        <v>101</v>
      </c>
      <c r="C70" s="45" t="s">
        <v>94</v>
      </c>
      <c r="D70" s="45" t="s">
        <v>93</v>
      </c>
      <c r="E70" s="45" t="s">
        <v>109</v>
      </c>
      <c r="F70" s="45" t="s">
        <v>96</v>
      </c>
      <c r="G70" s="46" t="s">
        <v>110</v>
      </c>
      <c r="H70" s="46" t="s">
        <v>94</v>
      </c>
      <c r="I70" s="46" t="s">
        <v>93</v>
      </c>
      <c r="J70" s="46" t="s">
        <v>109</v>
      </c>
      <c r="K70" s="46" t="s">
        <v>96</v>
      </c>
      <c r="L70" s="46" t="s">
        <v>110</v>
      </c>
      <c r="M70" s="46" t="s">
        <v>94</v>
      </c>
      <c r="N70" s="46" t="s">
        <v>93</v>
      </c>
      <c r="O70" s="46" t="s">
        <v>109</v>
      </c>
      <c r="P70" s="46" t="s">
        <v>96</v>
      </c>
      <c r="Q70" s="46" t="s">
        <v>110</v>
      </c>
      <c r="R70" s="46" t="s">
        <v>94</v>
      </c>
      <c r="S70" s="46" t="s">
        <v>93</v>
      </c>
      <c r="T70" s="46" t="s">
        <v>109</v>
      </c>
      <c r="U70" s="46" t="s">
        <v>96</v>
      </c>
      <c r="V70" s="46" t="s">
        <v>110</v>
      </c>
      <c r="W70" s="46" t="s">
        <v>94</v>
      </c>
      <c r="X70" s="46" t="s">
        <v>93</v>
      </c>
      <c r="Y70" s="46" t="s">
        <v>109</v>
      </c>
      <c r="Z70" s="46" t="s">
        <v>96</v>
      </c>
      <c r="AA70" s="46" t="s">
        <v>110</v>
      </c>
      <c r="AB70" s="46" t="s">
        <v>94</v>
      </c>
      <c r="AC70" s="46" t="s">
        <v>93</v>
      </c>
      <c r="AD70" s="46" t="s">
        <v>109</v>
      </c>
      <c r="AE70" s="46" t="s">
        <v>96</v>
      </c>
      <c r="AF70" s="46" t="s">
        <v>110</v>
      </c>
      <c r="AG70" s="47" t="s">
        <v>94</v>
      </c>
      <c r="AH70" s="47" t="s">
        <v>93</v>
      </c>
      <c r="AI70" s="47" t="s">
        <v>109</v>
      </c>
      <c r="AJ70" s="47" t="s">
        <v>96</v>
      </c>
      <c r="AK70" s="47" t="s">
        <v>97</v>
      </c>
      <c r="AL70" s="47" t="s">
        <v>98</v>
      </c>
      <c r="AM70" s="47" t="s">
        <v>111</v>
      </c>
      <c r="AN70" s="47" t="s">
        <v>100</v>
      </c>
      <c r="AO70" s="47" t="s">
        <v>110</v>
      </c>
      <c r="AP70" s="47" t="s">
        <v>94</v>
      </c>
      <c r="AQ70" s="47" t="s">
        <v>93</v>
      </c>
      <c r="AR70" s="47" t="s">
        <v>109</v>
      </c>
      <c r="AS70" s="47" t="s">
        <v>96</v>
      </c>
      <c r="AT70" s="47" t="s">
        <v>97</v>
      </c>
      <c r="AU70" s="47" t="s">
        <v>98</v>
      </c>
      <c r="AV70" s="47" t="s">
        <v>111</v>
      </c>
      <c r="AW70" s="47" t="s">
        <v>100</v>
      </c>
      <c r="AX70" s="47" t="s">
        <v>110</v>
      </c>
    </row>
    <row r="71" spans="2:89" x14ac:dyDescent="0.3">
      <c r="B71" s="50" t="s">
        <v>9</v>
      </c>
      <c r="C71" s="51">
        <f>IF(PMI!$F$15=PMI!$B$43,PMI!$B44,IF(PMI!$F$15=PMI!$C$43,PMI!$C44,IF(PMI!$F$15=PMI!$D$44,PMI!$D68,IF(PMI!$F$15=PMI!$E$43,PMI!$E44,1))))</f>
        <v>4</v>
      </c>
      <c r="D71" s="44">
        <f>BNP!C87</f>
        <v>3</v>
      </c>
      <c r="E71" s="44">
        <f>IF('10 yr rate'!$E$14='10 yr rate'!$B$35,'10 yr rate'!$B36,IF('10 yr rate'!$E$14='10 yr rate'!$C$35,'10 yr rate'!$C36,IF('10 yr rate'!$E$14='10 yr rate'!$D$35,'10 yr rate'!$D36,IF('10 yr rate'!$E$14='10 yr rate'!$E$36,'10 yr rate'!$E36,1))))</f>
        <v>4</v>
      </c>
      <c r="F71" s="44">
        <f>IF('CPI(Inflation)'!$E$13='CPI(Inflation)'!$B$33,'CPI(Inflation)'!$B34,IF('CPI(Inflation)'!$E$13='CPI(Inflation)'!$C$33,'CPI(Inflation)'!$C34,IF('CPI(Inflation)'!$E$13='CPI(Inflation)'!$D$33,'CPI(Inflation)'!$D34,IF('CPI(Inflation)'!$E$13='CPI(Inflation)'!$E$33,'CPI(Inflation)'!$E34,1))))</f>
        <v>4</v>
      </c>
      <c r="G71" s="72">
        <f t="shared" ref="G71:G81" si="8">AVERAGE(C71*0.3 + D71*0.2 + E71*0.2 + F71*0.3)</f>
        <v>3.8</v>
      </c>
      <c r="H71" s="51">
        <f>IF(PMI!$F$16=PMI!$B$43,PMI!$B44,IF(PMI!$F$16=PMI!$C$43,PMI!$C44,IF(PMI!$F$16=PMI!$D$44,PMI!$D68,IF(PMI!$F$16=PMI!$E$43,PMI!$E44,1))))</f>
        <v>4</v>
      </c>
      <c r="I71" s="44">
        <f>BNP!D87</f>
        <v>3</v>
      </c>
      <c r="J71" s="44">
        <f>IF('10 yr rate'!$E$15='10 yr rate'!$B$35,'10 yr rate'!$B36,IF('10 yr rate'!$E$15='10 yr rate'!$C$35,'10 yr rate'!$C36,IF('10 yr rate'!$E$15='10 yr rate'!$D$35,'10 yr rate'!$D36,IF('10 yr rate'!$E$15='10 yr rate'!$E$36,'10 yr rate'!$E36,1))))</f>
        <v>4</v>
      </c>
      <c r="K71" s="44">
        <f>IF('CPI(Inflation)'!$E$14='CPI(Inflation)'!$B$33,'CPI(Inflation)'!$B34,IF('CPI(Inflation)'!$E$14='CPI(Inflation)'!$C$33,'CPI(Inflation)'!$C34,IF('CPI(Inflation)'!$E$14='CPI(Inflation)'!$D$33,'CPI(Inflation)'!$D34,IF('CPI(Inflation)'!$E$14='CPI(Inflation)'!$E$33,'CPI(Inflation)'!$E34,1))))</f>
        <v>4</v>
      </c>
      <c r="L71" s="72">
        <f t="shared" ref="L71:L81" si="9">AVERAGE(H71*0.3 + I71*0.2 + J71*0.2 + K71*0.3)</f>
        <v>3.8</v>
      </c>
      <c r="M71" s="51">
        <f>IF(PMI!$F$17=PMI!$B$43,PMI!$B44,IF(PMI!$F$17=PMI!$C$43,PMI!$C44,IF(PMI!$F$17=PMI!$D$44,PMI!$D44,IF(PMI!$F$17=PMI!$E$43,PMI!$E44,1))))</f>
        <v>4</v>
      </c>
      <c r="N71" s="44">
        <f>BNP!E87</f>
        <v>3</v>
      </c>
      <c r="O71" s="44">
        <f>IF('10 yr rate'!$E$16='10 yr rate'!$B$35,'10 yr rate'!$B36,IF('10 yr rate'!$E$16='10 yr rate'!$C$35,'10 yr rate'!$C36,IF('10 yr rate'!$E$16='10 yr rate'!$D$35,'10 yr rate'!$D36,IF('10 yr rate'!$E$16='10 yr rate'!$E$36,'10 yr rate'!$E36,1))))</f>
        <v>4</v>
      </c>
      <c r="P71" s="44">
        <f>IF('CPI(Inflation)'!$E$15='CPI(Inflation)'!$B$33,'CPI(Inflation)'!$B34,IF('CPI(Inflation)'!$E$15='CPI(Inflation)'!$C$33,'CPI(Inflation)'!$C34,IF('CPI(Inflation)'!$E$15='CPI(Inflation)'!$D$33,'CPI(Inflation)'!$D34,IF('CPI(Inflation)'!$E$15='CPI(Inflation)'!$E$33,'CPI(Inflation)'!$E34,1))))</f>
        <v>4</v>
      </c>
      <c r="Q71" s="72">
        <f t="shared" ref="Q71:Q81" si="10">AVERAGE(M71*0.3 + N71*0.2 + O71*0.2 + P71*0.3)</f>
        <v>3.8</v>
      </c>
      <c r="R71" s="51">
        <f>IF(PMI!$F$18=PMI!$B$43,PMI!$B44,IF(PMI!$F$18=PMI!$C$43,PMI!$C44,IF(PMI!$F$18=PMI!$D$44,PMI!$D44,IF(PMI!$F$18=PMI!$E$43,PMI!$E44,1))))</f>
        <v>4</v>
      </c>
      <c r="S71" s="44">
        <f>BNP!F87</f>
        <v>3</v>
      </c>
      <c r="T71" s="44">
        <f>IF('10 yr rate'!$E$17='10 yr rate'!$B$35,'10 yr rate'!$B36,IF('10 yr rate'!$E$17='10 yr rate'!$C$35,'10 yr rate'!$C36,IF('10 yr rate'!$E$17='10 yr rate'!$D$35,'10 yr rate'!$D36,IF('10 yr rate'!$E$17='10 yr rate'!$E$36,'10 yr rate'!$E36,1))))</f>
        <v>4</v>
      </c>
      <c r="U71" s="44">
        <f>IF('CPI(Inflation)'!$E$16='CPI(Inflation)'!$B$33,'CPI(Inflation)'!$B34,IF('CPI(Inflation)'!$E$16='CPI(Inflation)'!$C$33,'CPI(Inflation)'!$C34,IF('CPI(Inflation)'!$E$16='CPI(Inflation)'!$D$33,'CPI(Inflation)'!$D34,IF('CPI(Inflation)'!$E$16='CPI(Inflation)'!$E$33,'CPI(Inflation)'!$E34,1))))</f>
        <v>4</v>
      </c>
      <c r="V71" s="72">
        <f t="shared" ref="V71:V81" si="11">AVERAGE(R71*0.3 + S71*0.2 + T71*0.2 + U71*0.3)</f>
        <v>3.8</v>
      </c>
      <c r="W71" s="51">
        <f>IF(PMI!$F$19=PMI!$B$43,PMI!$B44,IF(PMI!$F$19=PMI!$C$43,PMI!$C44,IF(PMI!$F$19=PMI!$D$44,PMI!$D44,IF(PMI!$F$19=PMI!$E$43,PMI!$E44,1))))</f>
        <v>4</v>
      </c>
      <c r="X71" s="44">
        <f>BNP!G87</f>
        <v>3</v>
      </c>
      <c r="Y71" s="44">
        <f>IF('10 yr rate'!$E$18='10 yr rate'!$B$35,'10 yr rate'!$B36,IF('10 yr rate'!$E$18='10 yr rate'!$C$35,'10 yr rate'!$C36,IF('10 yr rate'!$E$18='10 yr rate'!$D$35,'10 yr rate'!$D36,IF('10 yr rate'!$E$18='10 yr rate'!$E$36,'10 yr rate'!$E36,1))))</f>
        <v>4</v>
      </c>
      <c r="Z71" s="44">
        <f>IF('CPI(Inflation)'!$E$17='CPI(Inflation)'!$B$33,'CPI(Inflation)'!$B34,IF('CPI(Inflation)'!$E$17='CPI(Inflation)'!$C$33,'CPI(Inflation)'!$C34,IF('CPI(Inflation)'!$E$17='CPI(Inflation)'!$D$33,'CPI(Inflation)'!$D34,IF('CPI(Inflation)'!$E$17='CPI(Inflation)'!$E$33,'CPI(Inflation)'!$E34,1))))</f>
        <v>4</v>
      </c>
      <c r="AA71" s="72">
        <f t="shared" ref="AA71:AA81" si="12">AVERAGE(W71*0.3 + X71*0.2 + Y71*0.2 + Z71*0.3)</f>
        <v>3.8</v>
      </c>
      <c r="AB71" s="51">
        <f>IF(PMI!$F$20=PMI!$B$43,PMI!$B44,IF(PMI!$F$20=PMI!$C$43,PMI!$C44,IF(PMI!$F$20=PMI!$D$44,PMI!$D44,IF(PMI!$F$20=PMI!$E$43,PMI!$E44,1))))</f>
        <v>4</v>
      </c>
      <c r="AC71" s="44">
        <f>BNP!H87</f>
        <v>3</v>
      </c>
      <c r="AD71" s="44">
        <f>IF('10 yr rate'!$E$19='10 yr rate'!$B$35,'10 yr rate'!$B36,IF('10 yr rate'!$E$19='10 yr rate'!$C$35,'10 yr rate'!$C36,IF('10 yr rate'!$E$19='10 yr rate'!$D$35,'10 yr rate'!$D36,IF('10 yr rate'!$E$19='10 yr rate'!$E$36,'10 yr rate'!$E36,1))))</f>
        <v>4</v>
      </c>
      <c r="AE71" s="44">
        <f>IF('CPI(Inflation)'!$E$18='CPI(Inflation)'!$B$33,'CPI(Inflation)'!$B34,IF('CPI(Inflation)'!$E$18='CPI(Inflation)'!$C$33,'CPI(Inflation)'!$C34,IF('CPI(Inflation)'!$E$18='CPI(Inflation)'!$D$33,'CPI(Inflation)'!$D34,IF('CPI(Inflation)'!$E$18='CPI(Inflation)'!$E$33,'CPI(Inflation)'!$E34,1))))</f>
        <v>4</v>
      </c>
      <c r="AF71" s="72">
        <f t="shared" ref="AF71:AF81" si="13">AVERAGE(AB71*0.3 + AC71*0.2 + AD71*0.2 + AE71*0.3)</f>
        <v>3.8</v>
      </c>
      <c r="AG71" s="85">
        <f>IF(PMI!$F$21=PMI!$B$43,PMI!$B44,IF(PMI!$F$21=PMI!$C$43,PMI!$C44,IF(PMI!$F$21=PMI!$D$43,PMI!$D44,IF(PMI!$F$21=PMI!$E$43,PMI!$E44,1))))</f>
        <v>4</v>
      </c>
      <c r="AH71" s="89">
        <f>BNP!I87</f>
        <v>3</v>
      </c>
      <c r="AI71" s="89">
        <f>IF('10 yr rate'!$E$20='10 yr rate'!$B$35,'10 yr rate'!$B36,IF('10 yr rate'!$E$20='10 yr rate'!$C$35,'10 yr rate'!$C36,IF('10 yr rate'!$E$20='10 yr rate'!$D$35,'10 yr rate'!$D36,IF('10 yr rate'!$E$20='10 yr rate'!$E$35,'10 yr rate'!$E36,1))))</f>
        <v>4</v>
      </c>
      <c r="AJ71" s="89">
        <f>IF('CPI(Inflation)'!$E$18='CPI(Inflation)'!$B$33,'CPI(Inflation)'!$B34,IF('CPI(Inflation)'!$E$18='CPI(Inflation)'!$C$33,'CPI(Inflation)'!$C34,IF('CPI(Inflation)'!$E$18='CPI(Inflation)'!$D$33,'CPI(Inflation)'!$D34,IF('CPI(Inflation)'!$E$18='CPI(Inflation)'!$E$33,'CPI(Inflation)'!$E34,1))))</f>
        <v>4</v>
      </c>
      <c r="AK71" s="89">
        <f>'Baltic Dry Index'!B34</f>
        <v>4</v>
      </c>
      <c r="AL71" s="89">
        <f>IF(VIX!$F$5=VIX!$B$33,VIX!B34,IF(VIX!$F$5=VIX!$C$33,VIX!C34,IF(VIX!$F$5=VIX!$D$33,VIX!D34,IF(VIX!$F$5=VIX!$E$33,VIX!E34,1))))</f>
        <v>4</v>
      </c>
      <c r="AM71" s="89">
        <f>IF(Currency!$F$5=Currency!$B$33,Currency!B34,IF(Currency!$F$5=Currency!$C$33,Currency!C34,IF(Currency!$F$5=Currency!$D$33,Currency!D34,IF(Currency!$F$5=Currency!$E$33,Currency!E34,1))))</f>
        <v>2</v>
      </c>
      <c r="AN71" s="89">
        <f>IF(Unemployment!$F$5=Unemployment!$B$33,Unemployment!B34,IF(Unemployment!$F$5=Unemployment!$C$33,Unemployment!C34,IF(Unemployment!$F$5=Unemployment!$D$33,Unemployment!D34,IF(Unemployment!$F$5=Unemployment!$E$33,Unemployment!E34,1))))</f>
        <v>2</v>
      </c>
      <c r="AO71" s="92">
        <f>AVERAGE(AG71*0.2222 + AH71*0.1944 + AI71*0.1667 + AJ71*0.1389 + AK71*0.0556 + AL71*0.0556 + AM71*0.0556 + AN71*0.1111)</f>
        <v>3.4725999999999999</v>
      </c>
      <c r="AP71" s="85">
        <f>IF(PMI!$F$22=PMI!$B$43,PMI!$B44,IF(PMI!$F$22=PMI!$C$43,PMI!$C44,IF(PMI!$F$22=PMI!$D$44,PMI!$D44,IF(PMI!$F$22=PMI!$E$43,PMI!$E44,1))))</f>
        <v>4</v>
      </c>
      <c r="AQ71" s="89">
        <f>BNP!J87</f>
        <v>3</v>
      </c>
      <c r="AR71" s="89">
        <f>IF('10 yr rate'!$E$21='10 yr rate'!$B$35,'10 yr rate'!$B36,IF('10 yr rate'!$E$21='10 yr rate'!$C$35,'10 yr rate'!$C36,IF('10 yr rate'!$E$21='10 yr rate'!$D$35,'10 yr rate'!$D36,IF('10 yr rate'!$E$21='10 yr rate'!$E$35,'10 yr rate'!$E36,1))))</f>
        <v>4</v>
      </c>
      <c r="AS71" s="89">
        <f>IF('CPI(Inflation)'!$E$19='CPI(Inflation)'!$B$33,'CPI(Inflation)'!$B34,IF('CPI(Inflation)'!$E$19='CPI(Inflation)'!$C$33,'CPI(Inflation)'!$C34,IF('CPI(Inflation)'!$E$19='CPI(Inflation)'!$D$33,'CPI(Inflation)'!$D34,IF('CPI(Inflation)'!$E$19='CPI(Inflation)'!$E$33,'CPI(Inflation)'!$E34,1))))</f>
        <v>4</v>
      </c>
      <c r="AT71" s="89">
        <f>'Baltic Dry Index'!B34</f>
        <v>4</v>
      </c>
      <c r="AU71" s="89">
        <f>IF(VIX!$F$6=VIX!$B$33,VIX!B34,IF(VIX!$F$6=VIX!$C$33,VIX!C34,IF(VIX!$F$6=VIX!$D$33,VIX!D34,IF(VIX!$F$6=VIX!$E$33,VIX!E34,1))))</f>
        <v>1</v>
      </c>
      <c r="AV71" s="89">
        <f>IF(Currency!$F$6=Currency!$B$33,Currency!B34,IF(Currency!$F$6=Currency!$C$33,Currency!C34,IF(Currency!$F$6=Currency!$D$33,Currency!D34,IF(Currency!$F$6=Currency!$E$33,Currency!E34,1))))</f>
        <v>4</v>
      </c>
      <c r="AW71" s="89">
        <f>IF(Unemployment!$F$6=Unemployment!$B$33,Unemployment!B34,IF(Unemployment!$F$6=Unemployment!$C$33,Unemployment!C34,IF(Unemployment!$F$6=Unemployment!$D$33,Unemployment!D34,IF(Unemployment!$F$6=Unemployment!$E$33,Unemployment!E34,1))))</f>
        <v>2</v>
      </c>
      <c r="AX71" s="92">
        <f>AVERAGE(AP71*0.2222 + AQ71*0.1944 + AR71*0.1667 + AS71*0.1389 + AT71*0.0556 + AU71*0.0556 + AV71*0.0556 + AW71*0.1111)</f>
        <v>3.4169999999999998</v>
      </c>
    </row>
    <row r="72" spans="2:89" x14ac:dyDescent="0.3">
      <c r="B72" s="53" t="s">
        <v>10</v>
      </c>
      <c r="C72" s="51">
        <f>IF(PMI!$F$15=PMI!$B$43,PMI!$B45,IF(PMI!$F$15=PMI!$C$43,PMI!$C45,IF(PMI!$F$15=PMI!$D$44,PMI!$D69,IF(PMI!$F$15=PMI!$E$43,PMI!$E45,1))))</f>
        <v>5</v>
      </c>
      <c r="D72" s="44">
        <f>BNP!C92</f>
        <v>4</v>
      </c>
      <c r="E72" s="44">
        <f>IF('10 yr rate'!$E$14='10 yr rate'!$B$35,'10 yr rate'!$B37,IF('10 yr rate'!$E$14='10 yr rate'!$C$35,'10 yr rate'!$C37,IF('10 yr rate'!$E$14='10 yr rate'!$D$35,'10 yr rate'!$D37,IF('10 yr rate'!$E$14='10 yr rate'!$E$36,'10 yr rate'!$E37,1))))</f>
        <v>5</v>
      </c>
      <c r="F72" s="44">
        <f>IF('CPI(Inflation)'!$E$13='CPI(Inflation)'!$B$33,'CPI(Inflation)'!$B35,IF('CPI(Inflation)'!$E$13='CPI(Inflation)'!$C$33,'CPI(Inflation)'!$C35,IF('CPI(Inflation)'!$E$13='CPI(Inflation)'!$D$33,'CPI(Inflation)'!$D35,IF('CPI(Inflation)'!$E$13='CPI(Inflation)'!$E$33,'CPI(Inflation)'!$E35,1))))</f>
        <v>2</v>
      </c>
      <c r="G72" s="73">
        <f t="shared" si="8"/>
        <v>3.9</v>
      </c>
      <c r="H72" s="51">
        <f>IF(PMI!$F$16=PMI!$B$43,PMI!$B45,IF(PMI!$F$16=PMI!$C$43,PMI!$C45,IF(PMI!$F$16=PMI!$D$44,PMI!$D69,IF(PMI!$F$16=PMI!$E$43,PMI!$E45,1))))</f>
        <v>5</v>
      </c>
      <c r="I72" s="44">
        <f>BNP!D92</f>
        <v>5</v>
      </c>
      <c r="J72" s="44">
        <f>IF('10 yr rate'!$E$15='10 yr rate'!$B$35,'10 yr rate'!$B37,IF('10 yr rate'!$E$15='10 yr rate'!$C$35,'10 yr rate'!$C37,IF('10 yr rate'!$E$15='10 yr rate'!$D$35,'10 yr rate'!$D37,IF('10 yr rate'!$E$15='10 yr rate'!$E$36,'10 yr rate'!$E37,1))))</f>
        <v>5</v>
      </c>
      <c r="K72" s="44">
        <f>IF('CPI(Inflation)'!$E$14='CPI(Inflation)'!$B$33,'CPI(Inflation)'!$B35,IF('CPI(Inflation)'!$E$14='CPI(Inflation)'!$C$33,'CPI(Inflation)'!$C35,IF('CPI(Inflation)'!$E$14='CPI(Inflation)'!$D$33,'CPI(Inflation)'!$D35,IF('CPI(Inflation)'!$E$14='CPI(Inflation)'!$E$33,'CPI(Inflation)'!$E35,1))))</f>
        <v>2</v>
      </c>
      <c r="L72" s="73">
        <f t="shared" si="9"/>
        <v>4.0999999999999996</v>
      </c>
      <c r="M72" s="51">
        <f>IF(PMI!$F$17=PMI!$B$43,PMI!$B45,IF(PMI!$F$17=PMI!$C$43,PMI!$C45,IF(PMI!$F$17=PMI!$D$44,PMI!$D45,IF(PMI!$F$17=PMI!$E$43,PMI!$E45,1))))</f>
        <v>5</v>
      </c>
      <c r="N72" s="44">
        <f>BNP!E92</f>
        <v>5</v>
      </c>
      <c r="O72" s="44">
        <f>IF('10 yr rate'!$E$16='10 yr rate'!$B$35,'10 yr rate'!$B37,IF('10 yr rate'!$E$16='10 yr rate'!$C$35,'10 yr rate'!$C37,IF('10 yr rate'!$E$16='10 yr rate'!$D$35,'10 yr rate'!$D37,IF('10 yr rate'!$E$16='10 yr rate'!$E$36,'10 yr rate'!$E37,1))))</f>
        <v>5</v>
      </c>
      <c r="P72" s="44">
        <f>IF('CPI(Inflation)'!$E$15='CPI(Inflation)'!$B$33,'CPI(Inflation)'!$B35,IF('CPI(Inflation)'!$E$15='CPI(Inflation)'!$C$33,'CPI(Inflation)'!$C35,IF('CPI(Inflation)'!$E$15='CPI(Inflation)'!$D$33,'CPI(Inflation)'!$D35,IF('CPI(Inflation)'!$E$15='CPI(Inflation)'!$E$33,'CPI(Inflation)'!$E35,1))))</f>
        <v>2</v>
      </c>
      <c r="Q72" s="73">
        <f t="shared" si="10"/>
        <v>4.0999999999999996</v>
      </c>
      <c r="R72" s="51">
        <f>IF(PMI!$F$17=PMI!$B$43,PMI!$B45,IF(PMI!$F$17=PMI!$C$43,PMI!$C45,IF(PMI!$F$17=PMI!$D$44,PMI!$D69,IF(PMI!$F$17=PMI!$E$43,PMI!$E45,1))))</f>
        <v>5</v>
      </c>
      <c r="S72" s="44">
        <f>BNP!F92</f>
        <v>5</v>
      </c>
      <c r="T72" s="44">
        <f>IF('10 yr rate'!$E$17='10 yr rate'!$B$35,'10 yr rate'!$B37,IF('10 yr rate'!$E$17='10 yr rate'!$C$35,'10 yr rate'!$C37,IF('10 yr rate'!$E$17='10 yr rate'!$D$35,'10 yr rate'!$D37,IF('10 yr rate'!$E$17='10 yr rate'!$E$36,'10 yr rate'!$E37,1))))</f>
        <v>5</v>
      </c>
      <c r="U72" s="44">
        <f>IF('CPI(Inflation)'!$E$16='CPI(Inflation)'!$B$33,'CPI(Inflation)'!$B35,IF('CPI(Inflation)'!$E$16='CPI(Inflation)'!$C$33,'CPI(Inflation)'!$C35,IF('CPI(Inflation)'!$E$16='CPI(Inflation)'!$D$33,'CPI(Inflation)'!$D35,IF('CPI(Inflation)'!$E$16='CPI(Inflation)'!$E$33,'CPI(Inflation)'!$E35,1))))</f>
        <v>2</v>
      </c>
      <c r="V72" s="73">
        <f t="shared" si="11"/>
        <v>4.0999999999999996</v>
      </c>
      <c r="W72" s="51">
        <f>IF(PMI!$F$19=PMI!$B$43,PMI!$B45,IF(PMI!$F$19=PMI!$C$43,PMI!$C45,IF(PMI!$F$19=PMI!$D$44,PMI!$D45,IF(PMI!$F$19=PMI!$E$43,PMI!$E45,1))))</f>
        <v>2</v>
      </c>
      <c r="X72" s="44">
        <f>BNP!G92</f>
        <v>2</v>
      </c>
      <c r="Y72" s="44">
        <f>IF('10 yr rate'!$E$18='10 yr rate'!$B$35,'10 yr rate'!$B37,IF('10 yr rate'!$E$18='10 yr rate'!$C$35,'10 yr rate'!$C37,IF('10 yr rate'!$E$18='10 yr rate'!$D$35,'10 yr rate'!$D37,IF('10 yr rate'!$E$18='10 yr rate'!$E$36,'10 yr rate'!$E37,1))))</f>
        <v>2</v>
      </c>
      <c r="Z72" s="44">
        <f>IF('CPI(Inflation)'!$E$17='CPI(Inflation)'!$B$33,'CPI(Inflation)'!$B35,IF('CPI(Inflation)'!$E$17='CPI(Inflation)'!$C$33,'CPI(Inflation)'!$C35,IF('CPI(Inflation)'!$E$17='CPI(Inflation)'!$D$33,'CPI(Inflation)'!$D35,IF('CPI(Inflation)'!$E$17='CPI(Inflation)'!$E$33,'CPI(Inflation)'!$E35,1))))</f>
        <v>5</v>
      </c>
      <c r="AA72" s="73">
        <f t="shared" si="12"/>
        <v>2.9</v>
      </c>
      <c r="AB72" s="51">
        <f>IF(PMI!$F$20=PMI!$B$43,PMI!$B45,IF(PMI!$F$20=PMI!$C$43,PMI!$C45,IF(PMI!$F$20=PMI!$D$44,PMI!$D45,IF(PMI!$F$20=PMI!$E$43,PMI!$E45,1))))</f>
        <v>2</v>
      </c>
      <c r="AC72" s="44">
        <f>BNP!H92</f>
        <v>4</v>
      </c>
      <c r="AD72" s="44">
        <f>IF('10 yr rate'!$E$19='10 yr rate'!$B$35,'10 yr rate'!$B37,IF('10 yr rate'!$E$19='10 yr rate'!$C$35,'10 yr rate'!$C37,IF('10 yr rate'!$E$19='10 yr rate'!$D$35,'10 yr rate'!$D37,IF('10 yr rate'!$E$19='10 yr rate'!$E$36,'10 yr rate'!$E37,1))))</f>
        <v>2</v>
      </c>
      <c r="AE72" s="44">
        <f>IF('CPI(Inflation)'!$E$18='CPI(Inflation)'!$B$33,'CPI(Inflation)'!$B35,IF('CPI(Inflation)'!$E$18='CPI(Inflation)'!$C$33,'CPI(Inflation)'!$C35,IF('CPI(Inflation)'!$E$18='CPI(Inflation)'!$D$33,'CPI(Inflation)'!$D35,IF('CPI(Inflation)'!$E$18='CPI(Inflation)'!$E$33,'CPI(Inflation)'!$E35,1))))</f>
        <v>2</v>
      </c>
      <c r="AF72" s="73">
        <f t="shared" si="13"/>
        <v>2.4</v>
      </c>
      <c r="AG72" s="87">
        <f>IF(PMI!$F$21=PMI!$B$43,PMI!$B45,IF(PMI!$F$21=PMI!$C$43,PMI!$C45,IF(PMI!$F$21=PMI!$D$43,PMI!$D45,IF(PMI!$F$21=PMI!$E$43,PMI!$E45,1))))</f>
        <v>2</v>
      </c>
      <c r="AH72" s="44">
        <f>BNP!I92</f>
        <v>5</v>
      </c>
      <c r="AI72" s="44">
        <f>IF('10 yr rate'!$E$20='10 yr rate'!$B$35,'10 yr rate'!$B37,IF('10 yr rate'!$E$20='10 yr rate'!$C$35,'10 yr rate'!$C37,IF('10 yr rate'!$E$20='10 yr rate'!$D$35,'10 yr rate'!$D37,IF('10 yr rate'!$E$20='10 yr rate'!$E$35,'10 yr rate'!$E37,1))))</f>
        <v>2</v>
      </c>
      <c r="AJ72" s="44">
        <f>IF('CPI(Inflation)'!$E$18='CPI(Inflation)'!$B$33,'CPI(Inflation)'!$B35,IF('CPI(Inflation)'!$E$18='CPI(Inflation)'!$C$33,'CPI(Inflation)'!$C35,IF('CPI(Inflation)'!$E$18='CPI(Inflation)'!$D$33,'CPI(Inflation)'!$D35,IF('CPI(Inflation)'!$E$18='CPI(Inflation)'!$E$33,'CPI(Inflation)'!$E35,1))))</f>
        <v>2</v>
      </c>
      <c r="AK72" s="44">
        <f>'Baltic Dry Index'!B35</f>
        <v>5</v>
      </c>
      <c r="AL72" s="44">
        <f>IF(VIX!$F$5=VIX!$B$33,VIX!B35,IF(VIX!$F$5=VIX!$C$33,VIX!C35,IF(VIX!$F$5=VIX!$D$33,VIX!D35,IF(VIX!$F$5=VIX!$E$33,VIX!E35,1))))</f>
        <v>5</v>
      </c>
      <c r="AM72" s="44">
        <f>IF(Currency!$F$5=Currency!$B$33,Currency!B35,IF(Currency!$F$5=Currency!$C$33,Currency!C35,IF(Currency!$F$5=Currency!$D$33,Currency!D35,IF(Currency!$F$5=Currency!$E$33,Currency!E35,1))))</f>
        <v>3</v>
      </c>
      <c r="AN72" s="44">
        <f>IF(Unemployment!$F$5=Unemployment!$B$33,Unemployment!B35,IF(Unemployment!$F$5=Unemployment!$C$33,Unemployment!C35,IF(Unemployment!$F$5=Unemployment!$D$33,Unemployment!D35,IF(Unemployment!$F$5=Unemployment!$E$33,Unemployment!E35,1))))</f>
        <v>3</v>
      </c>
      <c r="AO72" s="90">
        <f t="shared" ref="AO72:AO81" si="14">AVERAGE(AG72*0.2222 + AH72*0.1944 + AI72*0.1667 + AJ72*0.1389 + AK72*0.0556 + AL72*0.0556 + AM72*0.0556 + AN72*0.1111)</f>
        <v>3.0836999999999994</v>
      </c>
      <c r="AP72" s="87">
        <f>IF(PMI!$F$22=PMI!$B$43,PMI!$B45,IF(PMI!$F$22=PMI!$C$43,PMI!$C45,IF(PMI!$F$22=PMI!$D$44,PMI!$D45,IF(PMI!$F$22=PMI!$E$43,PMI!$E45,1))))</f>
        <v>2</v>
      </c>
      <c r="AQ72" s="44">
        <f>BNP!J92</f>
        <v>2</v>
      </c>
      <c r="AR72" s="44">
        <f>IF('10 yr rate'!$E$21='10 yr rate'!$B$35,'10 yr rate'!$B37,IF('10 yr rate'!$E$21='10 yr rate'!$C$35,'10 yr rate'!$C37,IF('10 yr rate'!$E$21='10 yr rate'!$D$35,'10 yr rate'!$D37,IF('10 yr rate'!$E$21='10 yr rate'!$E$35,'10 yr rate'!$E37,1))))</f>
        <v>2</v>
      </c>
      <c r="AS72" s="44">
        <f>IF('CPI(Inflation)'!$E$19='CPI(Inflation)'!$B$33,'CPI(Inflation)'!$B35,IF('CPI(Inflation)'!$E$19='CPI(Inflation)'!$C$33,'CPI(Inflation)'!$C35,IF('CPI(Inflation)'!$E$19='CPI(Inflation)'!$D$33,'CPI(Inflation)'!$D35,IF('CPI(Inflation)'!$E$19='CPI(Inflation)'!$E$33,'CPI(Inflation)'!$E35,1))))</f>
        <v>5</v>
      </c>
      <c r="AT72" s="44">
        <f>'Baltic Dry Index'!B35</f>
        <v>5</v>
      </c>
      <c r="AU72" s="44">
        <f>IF(VIX!$F$6=VIX!$B$33,VIX!B35,IF(VIX!$F$6=VIX!$C$33,VIX!C35,IF(VIX!$F$6=VIX!$D$33,VIX!D35,IF(VIX!$F$6=VIX!$E$33,VIX!E35,1))))</f>
        <v>1</v>
      </c>
      <c r="AV72" s="44">
        <f>IF(Currency!$F$6=Currency!$B$33,Currency!B35,IF(Currency!$F$6=Currency!$C$33,Currency!C35,IF(Currency!$F$6=Currency!$D$33,Currency!D35,IF(Currency!$F$6=Currency!$E$33,Currency!E35,1))))</f>
        <v>2</v>
      </c>
      <c r="AW72" s="44">
        <f>IF(Unemployment!$F$6=Unemployment!$B$33,Unemployment!B35,IF(Unemployment!$F$6=Unemployment!$C$33,Unemployment!C35,IF(Unemployment!$F$6=Unemployment!$D$33,Unemployment!D35,IF(Unemployment!$F$6=Unemployment!$E$33,Unemployment!E35,1))))</f>
        <v>3</v>
      </c>
      <c r="AX72" s="90">
        <f t="shared" ref="AX72:AX81" si="15">AVERAGE(AP72*0.2222 + AQ72*0.1944 + AR72*0.1667 + AS72*0.1389 + AT72*0.0556 + AU72*0.0556 + AV72*0.0556 + AW72*0.1111)</f>
        <v>2.6392000000000002</v>
      </c>
    </row>
    <row r="73" spans="2:89" x14ac:dyDescent="0.3">
      <c r="B73" s="53" t="s">
        <v>11</v>
      </c>
      <c r="C73" s="51">
        <f>IF(PMI!$F$15=PMI!$B$43,PMI!$B46,IF(PMI!$F$15=PMI!$C$43,PMI!$C46,IF(PMI!$F$15=PMI!$D$44,PMI!$D70,IF(PMI!$F$15=PMI!$E$43,PMI!$E46,1))))</f>
        <v>5</v>
      </c>
      <c r="D73" s="44">
        <f>BNP!C97</f>
        <v>1</v>
      </c>
      <c r="E73" s="44">
        <f>IF('10 yr rate'!$E$14='10 yr rate'!$B$35,'10 yr rate'!$B38,IF('10 yr rate'!$E$14='10 yr rate'!$C$35,'10 yr rate'!$C38,IF('10 yr rate'!$E$14='10 yr rate'!$D$35,'10 yr rate'!$D38,IF('10 yr rate'!$E$14='10 yr rate'!$E$36,'10 yr rate'!$E38,1))))</f>
        <v>5</v>
      </c>
      <c r="F73" s="44">
        <f>IF('CPI(Inflation)'!$E$13='CPI(Inflation)'!$B$33,'CPI(Inflation)'!$B36,IF('CPI(Inflation)'!$E$13='CPI(Inflation)'!$C$33,'CPI(Inflation)'!$C36,IF('CPI(Inflation)'!$E$13='CPI(Inflation)'!$D$33,'CPI(Inflation)'!$D36,IF('CPI(Inflation)'!$E$13='CPI(Inflation)'!$E$33,'CPI(Inflation)'!$E36,1))))</f>
        <v>4</v>
      </c>
      <c r="G73" s="73">
        <f t="shared" si="8"/>
        <v>3.9000000000000004</v>
      </c>
      <c r="H73" s="51">
        <f>IF(PMI!$F$16=PMI!$B$43,PMI!$B46,IF(PMI!$F$16=PMI!$C$43,PMI!$C46,IF(PMI!$F$16=PMI!$D$44,PMI!$D70,IF(PMI!$F$16=PMI!$E$43,PMI!$E46,1))))</f>
        <v>5</v>
      </c>
      <c r="I73" s="44">
        <f>BNP!D97</f>
        <v>5</v>
      </c>
      <c r="J73" s="44">
        <f>IF('10 yr rate'!$E$15='10 yr rate'!$B$35,'10 yr rate'!$B38,IF('10 yr rate'!$E$15='10 yr rate'!$C$35,'10 yr rate'!$C38,IF('10 yr rate'!$E$15='10 yr rate'!$D$35,'10 yr rate'!$D38,IF('10 yr rate'!$E$15='10 yr rate'!$E$36,'10 yr rate'!$E38,1))))</f>
        <v>5</v>
      </c>
      <c r="K73" s="44">
        <f>IF('CPI(Inflation)'!$E$14='CPI(Inflation)'!$B$33,'CPI(Inflation)'!$B36,IF('CPI(Inflation)'!$E$14='CPI(Inflation)'!$C$33,'CPI(Inflation)'!$C36,IF('CPI(Inflation)'!$E$14='CPI(Inflation)'!$D$33,'CPI(Inflation)'!$D36,IF('CPI(Inflation)'!$E$14='CPI(Inflation)'!$E$33,'CPI(Inflation)'!$E36,1))))</f>
        <v>4</v>
      </c>
      <c r="L73" s="73">
        <f t="shared" si="9"/>
        <v>4.7</v>
      </c>
      <c r="M73" s="51">
        <f>IF(PMI!$F$17=PMI!$B$43,PMI!$B46,IF(PMI!$F$17=PMI!$C$43,PMI!$C46,IF(PMI!$F$17=PMI!$D$44,PMI!$D46,IF(PMI!$F$17=PMI!$E$43,PMI!$E46,1))))</f>
        <v>5</v>
      </c>
      <c r="N73" s="44">
        <f>BNP!E97</f>
        <v>5</v>
      </c>
      <c r="O73" s="44">
        <f>IF('10 yr rate'!$E$16='10 yr rate'!$B$35,'10 yr rate'!$B38,IF('10 yr rate'!$E$16='10 yr rate'!$C$35,'10 yr rate'!$C38,IF('10 yr rate'!$E$16='10 yr rate'!$D$35,'10 yr rate'!$D38,IF('10 yr rate'!$E$16='10 yr rate'!$E$36,'10 yr rate'!$E38,1))))</f>
        <v>5</v>
      </c>
      <c r="P73" s="44">
        <f>IF('CPI(Inflation)'!$E$15='CPI(Inflation)'!$B$33,'CPI(Inflation)'!$B36,IF('CPI(Inflation)'!$E$15='CPI(Inflation)'!$C$33,'CPI(Inflation)'!$C36,IF('CPI(Inflation)'!$E$15='CPI(Inflation)'!$D$33,'CPI(Inflation)'!$D36,IF('CPI(Inflation)'!$E$15='CPI(Inflation)'!$E$33,'CPI(Inflation)'!$E36,1))))</f>
        <v>4</v>
      </c>
      <c r="Q73" s="73">
        <f t="shared" si="10"/>
        <v>4.7</v>
      </c>
      <c r="R73" s="51">
        <f>IF(PMI!$F$17=PMI!$B$43,PMI!$B46,IF(PMI!$F$17=PMI!$C$43,PMI!$C46,IF(PMI!$F$17=PMI!$D$44,PMI!$D70,IF(PMI!$F$17=PMI!$E$43,PMI!$E46,1))))</f>
        <v>5</v>
      </c>
      <c r="S73" s="44">
        <f>BNP!F97</f>
        <v>5</v>
      </c>
      <c r="T73" s="44">
        <f>IF('10 yr rate'!$E$17='10 yr rate'!$B$35,'10 yr rate'!$B38,IF('10 yr rate'!$E$17='10 yr rate'!$C$35,'10 yr rate'!$C38,IF('10 yr rate'!$E$17='10 yr rate'!$D$35,'10 yr rate'!$D38,IF('10 yr rate'!$E$17='10 yr rate'!$E$36,'10 yr rate'!$E38,1))))</f>
        <v>5</v>
      </c>
      <c r="U73" s="44">
        <f>IF('CPI(Inflation)'!$E$16='CPI(Inflation)'!$B$33,'CPI(Inflation)'!$B36,IF('CPI(Inflation)'!$E$16='CPI(Inflation)'!$C$33,'CPI(Inflation)'!$C36,IF('CPI(Inflation)'!$E$16='CPI(Inflation)'!$D$33,'CPI(Inflation)'!$D36,IF('CPI(Inflation)'!$E$16='CPI(Inflation)'!$E$33,'CPI(Inflation)'!$E36,1))))</f>
        <v>4</v>
      </c>
      <c r="V73" s="73">
        <f t="shared" si="11"/>
        <v>4.7</v>
      </c>
      <c r="W73" s="51">
        <f>IF(PMI!$F$19=PMI!$B$43,PMI!$B46,IF(PMI!$F$19=PMI!$C$43,PMI!$C46,IF(PMI!$F$19=PMI!$D$44,PMI!$D46,IF(PMI!$F$19=PMI!$E$43,PMI!$E46,1))))</f>
        <v>4</v>
      </c>
      <c r="X73" s="44">
        <f>BNP!G97</f>
        <v>3</v>
      </c>
      <c r="Y73" s="44">
        <f>IF('10 yr rate'!$E$18='10 yr rate'!$B$35,'10 yr rate'!$B38,IF('10 yr rate'!$E$18='10 yr rate'!$C$35,'10 yr rate'!$C38,IF('10 yr rate'!$E$18='10 yr rate'!$D$35,'10 yr rate'!$D38,IF('10 yr rate'!$E$18='10 yr rate'!$E$36,'10 yr rate'!$E38,1))))</f>
        <v>4</v>
      </c>
      <c r="Z73" s="44">
        <f>IF('CPI(Inflation)'!$E$17='CPI(Inflation)'!$B$33,'CPI(Inflation)'!$B36,IF('CPI(Inflation)'!$E$17='CPI(Inflation)'!$C$33,'CPI(Inflation)'!$C36,IF('CPI(Inflation)'!$E$17='CPI(Inflation)'!$D$33,'CPI(Inflation)'!$D36,IF('CPI(Inflation)'!$E$17='CPI(Inflation)'!$E$33,'CPI(Inflation)'!$E36,1))))</f>
        <v>5</v>
      </c>
      <c r="AA73" s="73">
        <f t="shared" si="12"/>
        <v>4.0999999999999996</v>
      </c>
      <c r="AB73" s="51">
        <f>IF(PMI!$F$20=PMI!$B$43,PMI!$B46,IF(PMI!$F$20=PMI!$C$43,PMI!$C46,IF(PMI!$F$20=PMI!$D$44,PMI!$D46,IF(PMI!$F$20=PMI!$E$43,PMI!$E46,1))))</f>
        <v>4</v>
      </c>
      <c r="AC73" s="44">
        <f>BNP!H97</f>
        <v>1</v>
      </c>
      <c r="AD73" s="44">
        <f>IF('10 yr rate'!$E$19='10 yr rate'!$B$35,'10 yr rate'!$B38,IF('10 yr rate'!$E$19='10 yr rate'!$C$35,'10 yr rate'!$C38,IF('10 yr rate'!$E$19='10 yr rate'!$D$35,'10 yr rate'!$D38,IF('10 yr rate'!$E$19='10 yr rate'!$E$36,'10 yr rate'!$E38,1))))</f>
        <v>4</v>
      </c>
      <c r="AE73" s="44">
        <f>IF('CPI(Inflation)'!$E$18='CPI(Inflation)'!$B$33,'CPI(Inflation)'!$B36,IF('CPI(Inflation)'!$E$18='CPI(Inflation)'!$C$33,'CPI(Inflation)'!$C36,IF('CPI(Inflation)'!$E$18='CPI(Inflation)'!$D$33,'CPI(Inflation)'!$D36,IF('CPI(Inflation)'!$E$18='CPI(Inflation)'!$E$33,'CPI(Inflation)'!$E36,1))))</f>
        <v>4</v>
      </c>
      <c r="AF73" s="73">
        <f t="shared" si="13"/>
        <v>3.4000000000000004</v>
      </c>
      <c r="AG73" s="87">
        <f>IF(PMI!$F$21=PMI!$B$43,PMI!$B46,IF(PMI!$F$21=PMI!$C$43,PMI!$C46,IF(PMI!$F$21=PMI!$D$43,PMI!$D46,IF(PMI!$F$21=PMI!$E$43,PMI!$E46,1))))</f>
        <v>4</v>
      </c>
      <c r="AH73" s="44">
        <f>BNP!I97</f>
        <v>5</v>
      </c>
      <c r="AI73" s="44">
        <f>IF('10 yr rate'!$E$20='10 yr rate'!$B$35,'10 yr rate'!$B38,IF('10 yr rate'!$E$20='10 yr rate'!$C$35,'10 yr rate'!$C38,IF('10 yr rate'!$E$20='10 yr rate'!$D$35,'10 yr rate'!$D38,IF('10 yr rate'!$E$20='10 yr rate'!$E$35,'10 yr rate'!$E38,1))))</f>
        <v>4</v>
      </c>
      <c r="AJ73" s="44">
        <f>IF('CPI(Inflation)'!$E$18='CPI(Inflation)'!$B$33,'CPI(Inflation)'!$B36,IF('CPI(Inflation)'!$E$18='CPI(Inflation)'!$C$33,'CPI(Inflation)'!$C36,IF('CPI(Inflation)'!$E$18='CPI(Inflation)'!$D$33,'CPI(Inflation)'!$D36,IF('CPI(Inflation)'!$E$18='CPI(Inflation)'!$E$33,'CPI(Inflation)'!$E36,1))))</f>
        <v>4</v>
      </c>
      <c r="AK73" s="44">
        <f>'Baltic Dry Index'!B36</f>
        <v>5</v>
      </c>
      <c r="AL73" s="44">
        <f>IF(VIX!$F$5=VIX!$B$33,VIX!B36,IF(VIX!$F$5=VIX!$C$33,VIX!C36,IF(VIX!$F$5=VIX!$D$33,VIX!D36,IF(VIX!$F$5=VIX!$E$33,VIX!E36,1))))</f>
        <v>5</v>
      </c>
      <c r="AM73" s="44">
        <f>IF(Currency!$F$5=Currency!$B$33,Currency!B36,IF(Currency!$F$5=Currency!$C$33,Currency!C36,IF(Currency!$F$5=Currency!$D$33,Currency!D36,IF(Currency!$F$5=Currency!$E$33,Currency!E36,1))))</f>
        <v>2</v>
      </c>
      <c r="AN73" s="44">
        <f>IF(Unemployment!$F$5=Unemployment!$B$33,Unemployment!B36,IF(Unemployment!$F$5=Unemployment!$C$33,Unemployment!C36,IF(Unemployment!$F$5=Unemployment!$D$33,Unemployment!D36,IF(Unemployment!$F$5=Unemployment!$E$33,Unemployment!E36,1))))</f>
        <v>2</v>
      </c>
      <c r="AO73" s="90">
        <f t="shared" si="14"/>
        <v>3.9726000000000004</v>
      </c>
      <c r="AP73" s="87">
        <f>IF(PMI!$F$22=PMI!$B$43,PMI!$B46,IF(PMI!$F$22=PMI!$C$43,PMI!$C46,IF(PMI!$F$22=PMI!$D$44,PMI!$D46,IF(PMI!$F$22=PMI!$E$43,PMI!$E46,1))))</f>
        <v>4</v>
      </c>
      <c r="AQ73" s="44">
        <f>BNP!J97</f>
        <v>3</v>
      </c>
      <c r="AR73" s="44">
        <f>IF('10 yr rate'!$E$21='10 yr rate'!$B$35,'10 yr rate'!$B38,IF('10 yr rate'!$E$21='10 yr rate'!$C$35,'10 yr rate'!$C38,IF('10 yr rate'!$E$21='10 yr rate'!$D$35,'10 yr rate'!$D38,IF('10 yr rate'!$E$21='10 yr rate'!$E$35,'10 yr rate'!$E38,1))))</f>
        <v>4</v>
      </c>
      <c r="AS73" s="44">
        <f>IF('CPI(Inflation)'!$E$19='CPI(Inflation)'!$B$33,'CPI(Inflation)'!$B36,IF('CPI(Inflation)'!$E$19='CPI(Inflation)'!$C$33,'CPI(Inflation)'!$C36,IF('CPI(Inflation)'!$E$19='CPI(Inflation)'!$D$33,'CPI(Inflation)'!$D36,IF('CPI(Inflation)'!$E$19='CPI(Inflation)'!$E$33,'CPI(Inflation)'!$E36,1))))</f>
        <v>5</v>
      </c>
      <c r="AT73" s="44">
        <f>'Baltic Dry Index'!B36</f>
        <v>5</v>
      </c>
      <c r="AU73" s="44">
        <f>IF(VIX!$F$6=VIX!$B$33,VIX!B36,IF(VIX!$F$6=VIX!$C$33,VIX!C36,IF(VIX!$F$6=VIX!$D$33,VIX!D36,IF(VIX!$F$6=VIX!$E$33,VIX!E36,1))))</f>
        <v>1</v>
      </c>
      <c r="AV73" s="44">
        <f>IF(Currency!$F$6=Currency!$B$33,Currency!B36,IF(Currency!$F$6=Currency!$C$33,Currency!C36,IF(Currency!$F$6=Currency!$D$33,Currency!D36,IF(Currency!$F$6=Currency!$E$33,Currency!E36,1))))</f>
        <v>4</v>
      </c>
      <c r="AW73" s="44">
        <f>IF(Unemployment!$F$6=Unemployment!$B$33,Unemployment!B36,IF(Unemployment!$F$6=Unemployment!$C$33,Unemployment!C36,IF(Unemployment!$F$6=Unemployment!$D$33,Unemployment!D36,IF(Unemployment!$F$6=Unemployment!$E$33,Unemployment!E36,1))))</f>
        <v>2</v>
      </c>
      <c r="AX73" s="90">
        <f t="shared" si="15"/>
        <v>3.6114999999999999</v>
      </c>
    </row>
    <row r="74" spans="2:89" x14ac:dyDescent="0.3">
      <c r="B74" s="53" t="s">
        <v>12</v>
      </c>
      <c r="C74" s="51">
        <f>IF(PMI!$F$15=PMI!$B$43,PMI!$B47,IF(PMI!$F$15=PMI!$C$43,PMI!$C47,IF(PMI!$F$15=PMI!$D$44,PMI!$D71,IF(PMI!$F$15=PMI!$E$43,PMI!$E47,1))))</f>
        <v>4</v>
      </c>
      <c r="D74" s="44">
        <f>BNP!C102</f>
        <v>2</v>
      </c>
      <c r="E74" s="44">
        <f>IF('10 yr rate'!$E$14='10 yr rate'!$B$35,'10 yr rate'!$B39,IF('10 yr rate'!$E$14='10 yr rate'!$C$35,'10 yr rate'!$C39,IF('10 yr rate'!$E$14='10 yr rate'!$D$35,'10 yr rate'!$D39,IF('10 yr rate'!$E$14='10 yr rate'!$E$36,'10 yr rate'!$E39,1))))</f>
        <v>4</v>
      </c>
      <c r="F74" s="44">
        <f>IF('CPI(Inflation)'!$E$13='CPI(Inflation)'!$B$33,'CPI(Inflation)'!$B37,IF('CPI(Inflation)'!$E$13='CPI(Inflation)'!$C$33,'CPI(Inflation)'!$C37,IF('CPI(Inflation)'!$E$13='CPI(Inflation)'!$D$33,'CPI(Inflation)'!$D37,IF('CPI(Inflation)'!$E$13='CPI(Inflation)'!$E$33,'CPI(Inflation)'!$E37,1))))</f>
        <v>5</v>
      </c>
      <c r="G74" s="73">
        <f t="shared" si="8"/>
        <v>3.9000000000000004</v>
      </c>
      <c r="H74" s="51">
        <f>IF(PMI!$F$16=PMI!$B$43,PMI!$B47,IF(PMI!$F$16=PMI!$C$43,PMI!$C47,IF(PMI!$F$16=PMI!$D$44,PMI!$D71,IF(PMI!$F$16=PMI!$E$43,PMI!$E47,1))))</f>
        <v>4</v>
      </c>
      <c r="I74" s="44">
        <f>BNP!D102</f>
        <v>4</v>
      </c>
      <c r="J74" s="44">
        <f>IF('10 yr rate'!$E$15='10 yr rate'!$B$35,'10 yr rate'!$B39,IF('10 yr rate'!$E$15='10 yr rate'!$C$35,'10 yr rate'!$C39,IF('10 yr rate'!$E$15='10 yr rate'!$D$35,'10 yr rate'!$D39,IF('10 yr rate'!$E$15='10 yr rate'!$E$36,'10 yr rate'!$E39,1))))</f>
        <v>4</v>
      </c>
      <c r="K74" s="44">
        <f>IF('CPI(Inflation)'!$E$14='CPI(Inflation)'!$B$33,'CPI(Inflation)'!$B37,IF('CPI(Inflation)'!$E$14='CPI(Inflation)'!$C$33,'CPI(Inflation)'!$C37,IF('CPI(Inflation)'!$E$14='CPI(Inflation)'!$D$33,'CPI(Inflation)'!$D37,IF('CPI(Inflation)'!$E$14='CPI(Inflation)'!$E$33,'CPI(Inflation)'!$E37,1))))</f>
        <v>5</v>
      </c>
      <c r="L74" s="73">
        <f t="shared" si="9"/>
        <v>4.3</v>
      </c>
      <c r="M74" s="51">
        <f>IF(PMI!$F$17=PMI!$B$43,PMI!$B47,IF(PMI!$F$17=PMI!$C$43,PMI!$C47,IF(PMI!$F$17=PMI!$D$44,PMI!$D47,IF(PMI!$F$17=PMI!$E$43,PMI!$E47,1))))</f>
        <v>4</v>
      </c>
      <c r="N74" s="44">
        <f>BNP!E102</f>
        <v>4</v>
      </c>
      <c r="O74" s="44">
        <f>IF('10 yr rate'!$E$16='10 yr rate'!$B$35,'10 yr rate'!$B39,IF('10 yr rate'!$E$16='10 yr rate'!$C$35,'10 yr rate'!$C39,IF('10 yr rate'!$E$16='10 yr rate'!$D$35,'10 yr rate'!$D39,IF('10 yr rate'!$E$16='10 yr rate'!$E$36,'10 yr rate'!$E39,1))))</f>
        <v>4</v>
      </c>
      <c r="P74" s="44">
        <f>IF('CPI(Inflation)'!$E$15='CPI(Inflation)'!$B$33,'CPI(Inflation)'!$B37,IF('CPI(Inflation)'!$E$15='CPI(Inflation)'!$C$33,'CPI(Inflation)'!$C37,IF('CPI(Inflation)'!$E$15='CPI(Inflation)'!$D$33,'CPI(Inflation)'!$D37,IF('CPI(Inflation)'!$E$15='CPI(Inflation)'!$E$33,'CPI(Inflation)'!$E37,1))))</f>
        <v>5</v>
      </c>
      <c r="Q74" s="73">
        <f t="shared" si="10"/>
        <v>4.3</v>
      </c>
      <c r="R74" s="51">
        <f>IF(PMI!$F$17=PMI!$B$43,PMI!$B47,IF(PMI!$F$17=PMI!$C$43,PMI!$C47,IF(PMI!$F$17=PMI!$D$44,PMI!$D71,IF(PMI!$F$17=PMI!$E$43,PMI!$E47,1))))</f>
        <v>4</v>
      </c>
      <c r="S74" s="44">
        <f>BNP!F102</f>
        <v>4</v>
      </c>
      <c r="T74" s="44">
        <f>IF('10 yr rate'!$E$17='10 yr rate'!$B$35,'10 yr rate'!$B39,IF('10 yr rate'!$E$17='10 yr rate'!$C$35,'10 yr rate'!$C39,IF('10 yr rate'!$E$17='10 yr rate'!$D$35,'10 yr rate'!$D39,IF('10 yr rate'!$E$17='10 yr rate'!$E$36,'10 yr rate'!$E39,1))))</f>
        <v>4</v>
      </c>
      <c r="U74" s="44">
        <f>IF('CPI(Inflation)'!$E$16='CPI(Inflation)'!$B$33,'CPI(Inflation)'!$B37,IF('CPI(Inflation)'!$E$16='CPI(Inflation)'!$C$33,'CPI(Inflation)'!$C37,IF('CPI(Inflation)'!$E$16='CPI(Inflation)'!$D$33,'CPI(Inflation)'!$D37,IF('CPI(Inflation)'!$E$16='CPI(Inflation)'!$E$33,'CPI(Inflation)'!$E37,1))))</f>
        <v>5</v>
      </c>
      <c r="V74" s="73">
        <f t="shared" si="11"/>
        <v>4.3</v>
      </c>
      <c r="W74" s="51">
        <f>IF(PMI!$F$19=PMI!$B$43,PMI!$B47,IF(PMI!$F$19=PMI!$C$43,PMI!$C47,IF(PMI!$F$19=PMI!$D$44,PMI!$D47,IF(PMI!$F$19=PMI!$E$43,PMI!$E47,1))))</f>
        <v>5</v>
      </c>
      <c r="X74" s="44">
        <f>BNP!G102</f>
        <v>4</v>
      </c>
      <c r="Y74" s="44">
        <f>IF('10 yr rate'!$E$18='10 yr rate'!$B$35,'10 yr rate'!$B39,IF('10 yr rate'!$E$18='10 yr rate'!$C$35,'10 yr rate'!$C39,IF('10 yr rate'!$E$18='10 yr rate'!$D$35,'10 yr rate'!$D39,IF('10 yr rate'!$E$18='10 yr rate'!$E$36,'10 yr rate'!$E39,1))))</f>
        <v>5</v>
      </c>
      <c r="Z74" s="44">
        <f>IF('CPI(Inflation)'!$E$17='CPI(Inflation)'!$B$33,'CPI(Inflation)'!$B37,IF('CPI(Inflation)'!$E$17='CPI(Inflation)'!$C$33,'CPI(Inflation)'!$C37,IF('CPI(Inflation)'!$E$17='CPI(Inflation)'!$D$33,'CPI(Inflation)'!$D37,IF('CPI(Inflation)'!$E$17='CPI(Inflation)'!$E$33,'CPI(Inflation)'!$E37,1))))</f>
        <v>4</v>
      </c>
      <c r="AA74" s="73">
        <f t="shared" si="12"/>
        <v>4.5</v>
      </c>
      <c r="AB74" s="51">
        <f>IF(PMI!$F$20=PMI!$B$43,PMI!$B47,IF(PMI!$F$20=PMI!$C$43,PMI!$C47,IF(PMI!$F$20=PMI!$D$44,PMI!$D47,IF(PMI!$F$20=PMI!$E$43,PMI!$E47,1))))</f>
        <v>5</v>
      </c>
      <c r="AC74" s="44">
        <f>BNP!H102</f>
        <v>2</v>
      </c>
      <c r="AD74" s="44">
        <f>IF('10 yr rate'!$E$19='10 yr rate'!$B$35,'10 yr rate'!$B39,IF('10 yr rate'!$E$19='10 yr rate'!$C$35,'10 yr rate'!$C39,IF('10 yr rate'!$E$19='10 yr rate'!$D$35,'10 yr rate'!$D39,IF('10 yr rate'!$E$19='10 yr rate'!$E$36,'10 yr rate'!$E39,1))))</f>
        <v>5</v>
      </c>
      <c r="AE74" s="44">
        <f>IF('CPI(Inflation)'!$E$18='CPI(Inflation)'!$B$33,'CPI(Inflation)'!$B37,IF('CPI(Inflation)'!$E$18='CPI(Inflation)'!$C$33,'CPI(Inflation)'!$C37,IF('CPI(Inflation)'!$E$18='CPI(Inflation)'!$D$33,'CPI(Inflation)'!$D37,IF('CPI(Inflation)'!$E$18='CPI(Inflation)'!$E$33,'CPI(Inflation)'!$E37,1))))</f>
        <v>5</v>
      </c>
      <c r="AF74" s="73">
        <f t="shared" si="13"/>
        <v>4.4000000000000004</v>
      </c>
      <c r="AG74" s="87">
        <f>IF(PMI!$F$21=PMI!$B$43,PMI!$B47,IF(PMI!$F$21=PMI!$C$43,PMI!$C47,IF(PMI!$F$21=PMI!$D$43,PMI!$D47,IF(PMI!$F$21=PMI!$E$43,PMI!$E47,1))))</f>
        <v>5</v>
      </c>
      <c r="AH74" s="44">
        <f>BNP!I102</f>
        <v>4</v>
      </c>
      <c r="AI74" s="44">
        <f>IF('10 yr rate'!$E$20='10 yr rate'!$B$35,'10 yr rate'!$B39,IF('10 yr rate'!$E$20='10 yr rate'!$C$35,'10 yr rate'!$C39,IF('10 yr rate'!$E$20='10 yr rate'!$D$35,'10 yr rate'!$D39,IF('10 yr rate'!$E$20='10 yr rate'!$E$35,'10 yr rate'!$E39,1))))</f>
        <v>5</v>
      </c>
      <c r="AJ74" s="44">
        <f>IF('CPI(Inflation)'!$E$18='CPI(Inflation)'!$B$33,'CPI(Inflation)'!$B37,IF('CPI(Inflation)'!$E$18='CPI(Inflation)'!$C$33,'CPI(Inflation)'!$C37,IF('CPI(Inflation)'!$E$18='CPI(Inflation)'!$D$33,'CPI(Inflation)'!$D37,IF('CPI(Inflation)'!$E$18='CPI(Inflation)'!$E$33,'CPI(Inflation)'!$E37,1))))</f>
        <v>5</v>
      </c>
      <c r="AK74" s="44">
        <f>'Baltic Dry Index'!B37</f>
        <v>4</v>
      </c>
      <c r="AL74" s="44">
        <f>IF(VIX!$F$5=VIX!$B$33,VIX!B37,IF(VIX!$F$5=VIX!$C$33,VIX!C37,IF(VIX!$F$5=VIX!$D$33,VIX!D37,IF(VIX!$F$5=VIX!$E$33,VIX!E37,1))))</f>
        <v>4</v>
      </c>
      <c r="AM74" s="44">
        <f>IF(Currency!$F$5=Currency!$B$33,Currency!B37,IF(Currency!$F$5=Currency!$C$33,Currency!C37,IF(Currency!$F$5=Currency!$D$33,Currency!D37,IF(Currency!$F$5=Currency!$E$33,Currency!E37,1))))</f>
        <v>3</v>
      </c>
      <c r="AN74" s="44">
        <f>IF(Unemployment!$F$5=Unemployment!$B$33,Unemployment!B37,IF(Unemployment!$F$5=Unemployment!$C$33,Unemployment!C37,IF(Unemployment!$F$5=Unemployment!$D$33,Unemployment!D37,IF(Unemployment!$F$5=Unemployment!$E$33,Unemployment!E37,1))))</f>
        <v>3</v>
      </c>
      <c r="AO74" s="90">
        <f t="shared" si="14"/>
        <v>4.3615000000000004</v>
      </c>
      <c r="AP74" s="87">
        <f>IF(PMI!$F$22=PMI!$B$43,PMI!$B47,IF(PMI!$F$22=PMI!$C$43,PMI!$C47,IF(PMI!$F$22=PMI!$D$44,PMI!$D47,IF(PMI!$F$22=PMI!$E$43,PMI!$E47,1))))</f>
        <v>5</v>
      </c>
      <c r="AQ74" s="44">
        <f>BNP!J102</f>
        <v>4</v>
      </c>
      <c r="AR74" s="44">
        <f>IF('10 yr rate'!$E$21='10 yr rate'!$B$35,'10 yr rate'!$B39,IF('10 yr rate'!$E$21='10 yr rate'!$C$35,'10 yr rate'!$C39,IF('10 yr rate'!$E$21='10 yr rate'!$D$35,'10 yr rate'!$D39,IF('10 yr rate'!$E$21='10 yr rate'!$E$35,'10 yr rate'!$E39,1))))</f>
        <v>5</v>
      </c>
      <c r="AS74" s="44">
        <f>IF('CPI(Inflation)'!$E$19='CPI(Inflation)'!$B$33,'CPI(Inflation)'!$B37,IF('CPI(Inflation)'!$E$19='CPI(Inflation)'!$C$33,'CPI(Inflation)'!$C37,IF('CPI(Inflation)'!$E$19='CPI(Inflation)'!$D$33,'CPI(Inflation)'!$D37,IF('CPI(Inflation)'!$E$19='CPI(Inflation)'!$E$33,'CPI(Inflation)'!$E37,1))))</f>
        <v>4</v>
      </c>
      <c r="AT74" s="44">
        <f>'Baltic Dry Index'!B37</f>
        <v>4</v>
      </c>
      <c r="AU74" s="44">
        <f>IF(VIX!$F$6=VIX!$B$33,VIX!B37,IF(VIX!$F$6=VIX!$C$33,VIX!C37,IF(VIX!$F$6=VIX!$D$33,VIX!D37,IF(VIX!$F$6=VIX!$E$33,VIX!E37,1))))</f>
        <v>1</v>
      </c>
      <c r="AV74" s="44">
        <f>IF(Currency!$F$6=Currency!$B$33,Currency!B37,IF(Currency!$F$6=Currency!$C$33,Currency!C37,IF(Currency!$F$6=Currency!$D$33,Currency!D37,IF(Currency!$F$6=Currency!$E$33,Currency!E37,1))))</f>
        <v>5</v>
      </c>
      <c r="AW74" s="44">
        <f>IF(Unemployment!$F$6=Unemployment!$B$33,Unemployment!B37,IF(Unemployment!$F$6=Unemployment!$C$33,Unemployment!C37,IF(Unemployment!$F$6=Unemployment!$D$33,Unemployment!D37,IF(Unemployment!$F$6=Unemployment!$E$33,Unemployment!E37,1))))</f>
        <v>3</v>
      </c>
      <c r="AX74" s="90">
        <f t="shared" si="15"/>
        <v>4.1669999999999998</v>
      </c>
    </row>
    <row r="75" spans="2:89" x14ac:dyDescent="0.3">
      <c r="B75" s="53" t="s">
        <v>13</v>
      </c>
      <c r="C75" s="51">
        <f>IF(PMI!$F$15=PMI!$B$43,PMI!$B48,IF(PMI!$F$15=PMI!$C$43,PMI!$C48,IF(PMI!$F$15=PMI!$D$44,PMI!$D72,IF(PMI!$F$15=PMI!$E$43,PMI!$E48,1))))</f>
        <v>5</v>
      </c>
      <c r="D75" s="44">
        <f>BNP!C107</f>
        <v>3</v>
      </c>
      <c r="E75" s="44">
        <f>IF('10 yr rate'!$E$14='10 yr rate'!$B$35,'10 yr rate'!$B40,IF('10 yr rate'!$E$14='10 yr rate'!$C$35,'10 yr rate'!$C40,IF('10 yr rate'!$E$14='10 yr rate'!$D$35,'10 yr rate'!$D40,IF('10 yr rate'!$E$14='10 yr rate'!$E$36,'10 yr rate'!$E40,1))))</f>
        <v>5</v>
      </c>
      <c r="F75" s="44">
        <f>IF('CPI(Inflation)'!$E$13='CPI(Inflation)'!$B$33,'CPI(Inflation)'!$B38,IF('CPI(Inflation)'!$E$13='CPI(Inflation)'!$C$33,'CPI(Inflation)'!$C38,IF('CPI(Inflation)'!$E$13='CPI(Inflation)'!$D$33,'CPI(Inflation)'!$D38,IF('CPI(Inflation)'!$E$13='CPI(Inflation)'!$E$33,'CPI(Inflation)'!$E38,1))))</f>
        <v>4</v>
      </c>
      <c r="G75" s="73">
        <f t="shared" si="8"/>
        <v>4.3</v>
      </c>
      <c r="H75" s="51">
        <f>IF(PMI!$F$16=PMI!$B$43,PMI!$B48,IF(PMI!$F$16=PMI!$C$43,PMI!$C48,IF(PMI!$F$16=PMI!$D$44,PMI!$D72,IF(PMI!$F$16=PMI!$E$43,PMI!$E48,1))))</f>
        <v>5</v>
      </c>
      <c r="I75" s="44">
        <f>BNP!D107</f>
        <v>5</v>
      </c>
      <c r="J75" s="44">
        <f>IF('10 yr rate'!$E$15='10 yr rate'!$B$35,'10 yr rate'!$B40,IF('10 yr rate'!$E$15='10 yr rate'!$C$35,'10 yr rate'!$C40,IF('10 yr rate'!$E$15='10 yr rate'!$D$35,'10 yr rate'!$D40,IF('10 yr rate'!$E$15='10 yr rate'!$E$36,'10 yr rate'!$E40,1))))</f>
        <v>5</v>
      </c>
      <c r="K75" s="44">
        <f>IF('CPI(Inflation)'!$E$14='CPI(Inflation)'!$B$33,'CPI(Inflation)'!$B38,IF('CPI(Inflation)'!$E$14='CPI(Inflation)'!$C$33,'CPI(Inflation)'!$C38,IF('CPI(Inflation)'!$E$14='CPI(Inflation)'!$D$33,'CPI(Inflation)'!$D38,IF('CPI(Inflation)'!$E$14='CPI(Inflation)'!$E$33,'CPI(Inflation)'!$E38,1))))</f>
        <v>4</v>
      </c>
      <c r="L75" s="73">
        <f t="shared" si="9"/>
        <v>4.7</v>
      </c>
      <c r="M75" s="51">
        <f>IF(PMI!$F$17=PMI!$B$43,PMI!$B48,IF(PMI!$F$17=PMI!$C$43,PMI!$C48,IF(PMI!$F$17=PMI!$D$44,PMI!$D48,IF(PMI!$F$17=PMI!$E$43,PMI!$E48,1))))</f>
        <v>5</v>
      </c>
      <c r="N75" s="44">
        <f>BNP!E107</f>
        <v>5</v>
      </c>
      <c r="O75" s="44">
        <f>IF('10 yr rate'!$E$16='10 yr rate'!$B$35,'10 yr rate'!$B40,IF('10 yr rate'!$E$16='10 yr rate'!$C$35,'10 yr rate'!$C40,IF('10 yr rate'!$E$16='10 yr rate'!$D$35,'10 yr rate'!$D40,IF('10 yr rate'!$E$16='10 yr rate'!$E$36,'10 yr rate'!$E40,1))))</f>
        <v>5</v>
      </c>
      <c r="P75" s="44">
        <f>IF('CPI(Inflation)'!$E$15='CPI(Inflation)'!$B$33,'CPI(Inflation)'!$B38,IF('CPI(Inflation)'!$E$15='CPI(Inflation)'!$C$33,'CPI(Inflation)'!$C38,IF('CPI(Inflation)'!$E$15='CPI(Inflation)'!$D$33,'CPI(Inflation)'!$D38,IF('CPI(Inflation)'!$E$15='CPI(Inflation)'!$E$33,'CPI(Inflation)'!$E38,1))))</f>
        <v>4</v>
      </c>
      <c r="Q75" s="73">
        <f t="shared" si="10"/>
        <v>4.7</v>
      </c>
      <c r="R75" s="51">
        <f>IF(PMI!$F$17=PMI!$B$43,PMI!$B48,IF(PMI!$F$17=PMI!$C$43,PMI!$C48,IF(PMI!$F$17=PMI!$D$44,PMI!$D72,IF(PMI!$F$17=PMI!$E$43,PMI!$E48,1))))</f>
        <v>5</v>
      </c>
      <c r="S75" s="44">
        <f>BNP!F107</f>
        <v>5</v>
      </c>
      <c r="T75" s="44">
        <f>IF('10 yr rate'!$E$17='10 yr rate'!$B$35,'10 yr rate'!$B40,IF('10 yr rate'!$E$17='10 yr rate'!$C$35,'10 yr rate'!$C40,IF('10 yr rate'!$E$17='10 yr rate'!$D$35,'10 yr rate'!$D40,IF('10 yr rate'!$E$17='10 yr rate'!$E$36,'10 yr rate'!$E40,1))))</f>
        <v>5</v>
      </c>
      <c r="U75" s="44">
        <f>IF('CPI(Inflation)'!$E$16='CPI(Inflation)'!$B$33,'CPI(Inflation)'!$B38,IF('CPI(Inflation)'!$E$16='CPI(Inflation)'!$C$33,'CPI(Inflation)'!$C38,IF('CPI(Inflation)'!$E$16='CPI(Inflation)'!$D$33,'CPI(Inflation)'!$D38,IF('CPI(Inflation)'!$E$16='CPI(Inflation)'!$E$33,'CPI(Inflation)'!$E38,1))))</f>
        <v>4</v>
      </c>
      <c r="V75" s="73">
        <f t="shared" si="11"/>
        <v>4.7</v>
      </c>
      <c r="W75" s="51">
        <f>IF(PMI!$F$19=PMI!$B$43,PMI!$B48,IF(PMI!$F$19=PMI!$C$43,PMI!$C48,IF(PMI!$F$19=PMI!$D$44,PMI!$D48,IF(PMI!$F$19=PMI!$E$43,PMI!$E48,1))))</f>
        <v>4</v>
      </c>
      <c r="X75" s="44">
        <f>BNP!G107</f>
        <v>3</v>
      </c>
      <c r="Y75" s="44">
        <f>IF('10 yr rate'!$E$18='10 yr rate'!$B$35,'10 yr rate'!$B40,IF('10 yr rate'!$E$18='10 yr rate'!$C$35,'10 yr rate'!$C40,IF('10 yr rate'!$E$18='10 yr rate'!$D$35,'10 yr rate'!$D40,IF('10 yr rate'!$E$18='10 yr rate'!$E$36,'10 yr rate'!$E40,1))))</f>
        <v>4</v>
      </c>
      <c r="Z75" s="44">
        <f>IF('CPI(Inflation)'!$E$17='CPI(Inflation)'!$B$33,'CPI(Inflation)'!$B38,IF('CPI(Inflation)'!$E$17='CPI(Inflation)'!$C$33,'CPI(Inflation)'!$C38,IF('CPI(Inflation)'!$E$17='CPI(Inflation)'!$D$33,'CPI(Inflation)'!$D38,IF('CPI(Inflation)'!$E$17='CPI(Inflation)'!$E$33,'CPI(Inflation)'!$E38,1))))</f>
        <v>5</v>
      </c>
      <c r="AA75" s="73">
        <f t="shared" si="12"/>
        <v>4.0999999999999996</v>
      </c>
      <c r="AB75" s="51">
        <f>IF(PMI!$F$20=PMI!$B$43,PMI!$B48,IF(PMI!$F$20=PMI!$C$43,PMI!$C48,IF(PMI!$F$20=PMI!$D$44,PMI!$D48,IF(PMI!$F$20=PMI!$E$43,PMI!$E48,1))))</f>
        <v>4</v>
      </c>
      <c r="AC75" s="44">
        <f>BNP!H107</f>
        <v>3</v>
      </c>
      <c r="AD75" s="44">
        <f>IF('10 yr rate'!$E$19='10 yr rate'!$B$35,'10 yr rate'!$B40,IF('10 yr rate'!$E$19='10 yr rate'!$C$35,'10 yr rate'!$C40,IF('10 yr rate'!$E$19='10 yr rate'!$D$35,'10 yr rate'!$D40,IF('10 yr rate'!$E$19='10 yr rate'!$E$36,'10 yr rate'!$E40,1))))</f>
        <v>4</v>
      </c>
      <c r="AE75" s="44">
        <f>IF('CPI(Inflation)'!$E$18='CPI(Inflation)'!$B$33,'CPI(Inflation)'!$B38,IF('CPI(Inflation)'!$E$18='CPI(Inflation)'!$C$33,'CPI(Inflation)'!$C38,IF('CPI(Inflation)'!$E$18='CPI(Inflation)'!$D$33,'CPI(Inflation)'!$D38,IF('CPI(Inflation)'!$E$18='CPI(Inflation)'!$E$33,'CPI(Inflation)'!$E38,1))))</f>
        <v>4</v>
      </c>
      <c r="AF75" s="73">
        <f t="shared" si="13"/>
        <v>3.8</v>
      </c>
      <c r="AG75" s="87">
        <f>IF(PMI!$F$21=PMI!$B$43,PMI!$B48,IF(PMI!$F$21=PMI!$C$43,PMI!$C48,IF(PMI!$F$21=PMI!$D$43,PMI!$D48,IF(PMI!$F$21=PMI!$E$43,PMI!$E48,1))))</f>
        <v>4</v>
      </c>
      <c r="AH75" s="44">
        <f>BNP!I107</f>
        <v>5</v>
      </c>
      <c r="AI75" s="44">
        <f>IF('10 yr rate'!$E$20='10 yr rate'!$B$35,'10 yr rate'!$B40,IF('10 yr rate'!$E$20='10 yr rate'!$C$35,'10 yr rate'!$C40,IF('10 yr rate'!$E$20='10 yr rate'!$D$35,'10 yr rate'!$D40,IF('10 yr rate'!$E$20='10 yr rate'!$E$35,'10 yr rate'!$E40,1))))</f>
        <v>4</v>
      </c>
      <c r="AJ75" s="44">
        <f>IF('CPI(Inflation)'!$E$18='CPI(Inflation)'!$B$33,'CPI(Inflation)'!$B38,IF('CPI(Inflation)'!$E$18='CPI(Inflation)'!$C$33,'CPI(Inflation)'!$C38,IF('CPI(Inflation)'!$E$18='CPI(Inflation)'!$D$33,'CPI(Inflation)'!$D38,IF('CPI(Inflation)'!$E$18='CPI(Inflation)'!$E$33,'CPI(Inflation)'!$E38,1))))</f>
        <v>4</v>
      </c>
      <c r="AK75" s="44">
        <f>'Baltic Dry Index'!B38</f>
        <v>5</v>
      </c>
      <c r="AL75" s="44">
        <f>IF(VIX!$F$5=VIX!$B$33,VIX!B38,IF(VIX!$F$5=VIX!$C$33,VIX!C38,IF(VIX!$F$5=VIX!$D$33,VIX!D38,IF(VIX!$F$5=VIX!$E$33,VIX!E38,1))))</f>
        <v>5</v>
      </c>
      <c r="AM75" s="44">
        <f>IF(Currency!$F$5=Currency!$B$33,Currency!B38,IF(Currency!$F$5=Currency!$C$33,Currency!C38,IF(Currency!$F$5=Currency!$D$33,Currency!D38,IF(Currency!$F$5=Currency!$E$33,Currency!E38,1))))</f>
        <v>2</v>
      </c>
      <c r="AN75" s="44">
        <f>IF(Unemployment!$F$5=Unemployment!$B$33,Unemployment!B38,IF(Unemployment!$F$5=Unemployment!$C$33,Unemployment!C38,IF(Unemployment!$F$5=Unemployment!$D$33,Unemployment!D38,IF(Unemployment!$F$5=Unemployment!$E$33,Unemployment!E38,1))))</f>
        <v>2</v>
      </c>
      <c r="AO75" s="90">
        <f t="shared" si="14"/>
        <v>3.9726000000000004</v>
      </c>
      <c r="AP75" s="87">
        <f>IF(PMI!$F$22=PMI!$B$43,PMI!$B48,IF(PMI!$F$22=PMI!$C$43,PMI!$C48,IF(PMI!$F$22=PMI!$D$44,PMI!$D48,IF(PMI!$F$22=PMI!$E$43,PMI!$E48,1))))</f>
        <v>4</v>
      </c>
      <c r="AQ75" s="44">
        <f>BNP!J107</f>
        <v>3</v>
      </c>
      <c r="AR75" s="44">
        <f>IF('10 yr rate'!$E$21='10 yr rate'!$B$35,'10 yr rate'!$B40,IF('10 yr rate'!$E$21='10 yr rate'!$C$35,'10 yr rate'!$C40,IF('10 yr rate'!$E$21='10 yr rate'!$D$35,'10 yr rate'!$D40,IF('10 yr rate'!$E$21='10 yr rate'!$E$35,'10 yr rate'!$E40,1))))</f>
        <v>4</v>
      </c>
      <c r="AS75" s="44">
        <f>IF('CPI(Inflation)'!$E$19='CPI(Inflation)'!$B$33,'CPI(Inflation)'!$B38,IF('CPI(Inflation)'!$E$19='CPI(Inflation)'!$C$33,'CPI(Inflation)'!$C38,IF('CPI(Inflation)'!$E$19='CPI(Inflation)'!$D$33,'CPI(Inflation)'!$D38,IF('CPI(Inflation)'!$E$19='CPI(Inflation)'!$E$33,'CPI(Inflation)'!$E38,1))))</f>
        <v>5</v>
      </c>
      <c r="AT75" s="44">
        <f>'Baltic Dry Index'!B38</f>
        <v>5</v>
      </c>
      <c r="AU75" s="44">
        <f>IF(VIX!$F$6=VIX!$B$33,VIX!B38,IF(VIX!$F$6=VIX!$C$33,VIX!C38,IF(VIX!$F$6=VIX!$D$33,VIX!D38,IF(VIX!$F$6=VIX!$E$33,VIX!E38,1))))</f>
        <v>1</v>
      </c>
      <c r="AV75" s="44">
        <f>IF(Currency!$F$6=Currency!$B$33,Currency!B38,IF(Currency!$F$6=Currency!$C$33,Currency!C38,IF(Currency!$F$6=Currency!$D$33,Currency!D38,IF(Currency!$F$6=Currency!$E$33,Currency!E38,1))))</f>
        <v>4</v>
      </c>
      <c r="AW75" s="44">
        <f>IF(Unemployment!$F$6=Unemployment!$B$33,Unemployment!B38,IF(Unemployment!$F$6=Unemployment!$C$33,Unemployment!C38,IF(Unemployment!$F$6=Unemployment!$D$33,Unemployment!D38,IF(Unemployment!$F$6=Unemployment!$E$33,Unemployment!E38,1))))</f>
        <v>2</v>
      </c>
      <c r="AX75" s="90">
        <f t="shared" si="15"/>
        <v>3.6114999999999999</v>
      </c>
    </row>
    <row r="76" spans="2:89" x14ac:dyDescent="0.3">
      <c r="B76" s="53" t="s">
        <v>14</v>
      </c>
      <c r="C76" s="51">
        <f>IF(PMI!$F$15=PMI!$B$43,PMI!$B49,IF(PMI!$F$15=PMI!$C$43,PMI!$C49,IF(PMI!$F$15=PMI!$D$44,PMI!$D73,IF(PMI!$F$15=PMI!$E$43,PMI!$E49,1))))</f>
        <v>4</v>
      </c>
      <c r="D76" s="44">
        <f>BNP!C112</f>
        <v>3</v>
      </c>
      <c r="E76" s="44">
        <f>IF('10 yr rate'!$E$14='10 yr rate'!$B$35,'10 yr rate'!$B41,IF('10 yr rate'!$E$14='10 yr rate'!$C$35,'10 yr rate'!$C41,IF('10 yr rate'!$E$14='10 yr rate'!$D$35,'10 yr rate'!$D41,IF('10 yr rate'!$E$14='10 yr rate'!$E$36,'10 yr rate'!$E41,1))))</f>
        <v>4</v>
      </c>
      <c r="F76" s="44">
        <f>IF('CPI(Inflation)'!$E$13='CPI(Inflation)'!$B$33,'CPI(Inflation)'!$B39,IF('CPI(Inflation)'!$E$13='CPI(Inflation)'!$C$33,'CPI(Inflation)'!$C39,IF('CPI(Inflation)'!$E$13='CPI(Inflation)'!$D$33,'CPI(Inflation)'!$D39,IF('CPI(Inflation)'!$E$13='CPI(Inflation)'!$E$33,'CPI(Inflation)'!$E39,1))))</f>
        <v>2</v>
      </c>
      <c r="G76" s="73">
        <f t="shared" si="8"/>
        <v>3.2</v>
      </c>
      <c r="H76" s="51">
        <f>IF(PMI!$F$16=PMI!$B$43,PMI!$B49,IF(PMI!$F$16=PMI!$C$43,PMI!$C49,IF(PMI!$F$16=PMI!$D$44,PMI!$D73,IF(PMI!$F$16=PMI!$E$43,PMI!$E49,1))))</f>
        <v>4</v>
      </c>
      <c r="I76" s="44">
        <f>BNP!D112</f>
        <v>4</v>
      </c>
      <c r="J76" s="44">
        <f>IF('10 yr rate'!$E$15='10 yr rate'!$B$35,'10 yr rate'!$B41,IF('10 yr rate'!$E$15='10 yr rate'!$C$35,'10 yr rate'!$C41,IF('10 yr rate'!$E$15='10 yr rate'!$D$35,'10 yr rate'!$D41,IF('10 yr rate'!$E$15='10 yr rate'!$E$36,'10 yr rate'!$E41,1))))</f>
        <v>4</v>
      </c>
      <c r="K76" s="44">
        <f>IF('CPI(Inflation)'!$E$14='CPI(Inflation)'!$B$33,'CPI(Inflation)'!$B39,IF('CPI(Inflation)'!$E$14='CPI(Inflation)'!$C$33,'CPI(Inflation)'!$C39,IF('CPI(Inflation)'!$E$14='CPI(Inflation)'!$D$33,'CPI(Inflation)'!$D39,IF('CPI(Inflation)'!$E$14='CPI(Inflation)'!$E$33,'CPI(Inflation)'!$E39,1))))</f>
        <v>2</v>
      </c>
      <c r="L76" s="73">
        <f t="shared" si="9"/>
        <v>3.4</v>
      </c>
      <c r="M76" s="51">
        <f>IF(PMI!$F$17=PMI!$B$43,PMI!$B49,IF(PMI!$F$17=PMI!$C$43,PMI!$C49,IF(PMI!$F$17=PMI!$D$44,PMI!$D49,IF(PMI!$F$17=PMI!$E$43,PMI!$E49,1))))</f>
        <v>4</v>
      </c>
      <c r="N76" s="44">
        <f>BNP!E112</f>
        <v>4</v>
      </c>
      <c r="O76" s="44">
        <f>IF('10 yr rate'!$E$16='10 yr rate'!$B$35,'10 yr rate'!$B41,IF('10 yr rate'!$E$16='10 yr rate'!$C$35,'10 yr rate'!$C41,IF('10 yr rate'!$E$16='10 yr rate'!$D$35,'10 yr rate'!$D41,IF('10 yr rate'!$E$16='10 yr rate'!$E$36,'10 yr rate'!$E41,1))))</f>
        <v>4</v>
      </c>
      <c r="P76" s="44">
        <f>IF('CPI(Inflation)'!$E$15='CPI(Inflation)'!$B$33,'CPI(Inflation)'!$B39,IF('CPI(Inflation)'!$E$15='CPI(Inflation)'!$C$33,'CPI(Inflation)'!$C39,IF('CPI(Inflation)'!$E$15='CPI(Inflation)'!$D$33,'CPI(Inflation)'!$D39,IF('CPI(Inflation)'!$E$15='CPI(Inflation)'!$E$33,'CPI(Inflation)'!$E39,1))))</f>
        <v>2</v>
      </c>
      <c r="Q76" s="73">
        <f t="shared" si="10"/>
        <v>3.4</v>
      </c>
      <c r="R76" s="51">
        <f>IF(PMI!$F$17=PMI!$B$43,PMI!$B49,IF(PMI!$F$17=PMI!$C$43,PMI!$C49,IF(PMI!$F$17=PMI!$D$44,PMI!$D73,IF(PMI!$F$17=PMI!$E$43,PMI!$E49,1))))</f>
        <v>4</v>
      </c>
      <c r="S76" s="44">
        <f>BNP!F112</f>
        <v>4</v>
      </c>
      <c r="T76" s="44">
        <f>IF('10 yr rate'!$E$17='10 yr rate'!$B$35,'10 yr rate'!$B41,IF('10 yr rate'!$E$17='10 yr rate'!$C$35,'10 yr rate'!$C41,IF('10 yr rate'!$E$17='10 yr rate'!$D$35,'10 yr rate'!$D41,IF('10 yr rate'!$E$17='10 yr rate'!$E$36,'10 yr rate'!$E41,1))))</f>
        <v>4</v>
      </c>
      <c r="U76" s="44">
        <f>IF('CPI(Inflation)'!$E$16='CPI(Inflation)'!$B$33,'CPI(Inflation)'!$B39,IF('CPI(Inflation)'!$E$16='CPI(Inflation)'!$C$33,'CPI(Inflation)'!$C39,IF('CPI(Inflation)'!$E$16='CPI(Inflation)'!$D$33,'CPI(Inflation)'!$D39,IF('CPI(Inflation)'!$E$16='CPI(Inflation)'!$E$33,'CPI(Inflation)'!$E39,1))))</f>
        <v>2</v>
      </c>
      <c r="V76" s="73">
        <f t="shared" si="11"/>
        <v>3.4</v>
      </c>
      <c r="W76" s="51">
        <f>IF(PMI!$F$19=PMI!$B$43,PMI!$B49,IF(PMI!$F$19=PMI!$C$43,PMI!$C49,IF(PMI!$F$19=PMI!$D$44,PMI!$D49,IF(PMI!$F$19=PMI!$E$43,PMI!$E49,1))))</f>
        <v>2</v>
      </c>
      <c r="X76" s="44">
        <f>BNP!G112</f>
        <v>1</v>
      </c>
      <c r="Y76" s="44">
        <f>IF('10 yr rate'!$E$18='10 yr rate'!$B$35,'10 yr rate'!$B41,IF('10 yr rate'!$E$18='10 yr rate'!$C$35,'10 yr rate'!$C41,IF('10 yr rate'!$E$18='10 yr rate'!$D$35,'10 yr rate'!$D41,IF('10 yr rate'!$E$18='10 yr rate'!$E$36,'10 yr rate'!$E41,1))))</f>
        <v>2</v>
      </c>
      <c r="Z76" s="44">
        <f>IF('CPI(Inflation)'!$E$17='CPI(Inflation)'!$B$33,'CPI(Inflation)'!$B39,IF('CPI(Inflation)'!$E$17='CPI(Inflation)'!$C$33,'CPI(Inflation)'!$C39,IF('CPI(Inflation)'!$E$17='CPI(Inflation)'!$D$33,'CPI(Inflation)'!$D39,IF('CPI(Inflation)'!$E$17='CPI(Inflation)'!$E$33,'CPI(Inflation)'!$E39,1))))</f>
        <v>4</v>
      </c>
      <c r="AA76" s="73">
        <f t="shared" si="12"/>
        <v>2.4000000000000004</v>
      </c>
      <c r="AB76" s="51">
        <f>IF(PMI!$F$20=PMI!$B$43,PMI!$B49,IF(PMI!$F$20=PMI!$C$43,PMI!$C49,IF(PMI!$F$20=PMI!$D$44,PMI!$D49,IF(PMI!$F$20=PMI!$E$43,PMI!$E49,1))))</f>
        <v>2</v>
      </c>
      <c r="AC76" s="44">
        <f>BNP!H112</f>
        <v>3</v>
      </c>
      <c r="AD76" s="44">
        <f>IF('10 yr rate'!$E$19='10 yr rate'!$B$35,'10 yr rate'!$B41,IF('10 yr rate'!$E$19='10 yr rate'!$C$35,'10 yr rate'!$C41,IF('10 yr rate'!$E$19='10 yr rate'!$D$35,'10 yr rate'!$D41,IF('10 yr rate'!$E$19='10 yr rate'!$E$36,'10 yr rate'!$E41,1))))</f>
        <v>2</v>
      </c>
      <c r="AE76" s="44">
        <f>IF('CPI(Inflation)'!$E$18='CPI(Inflation)'!$B$33,'CPI(Inflation)'!$B39,IF('CPI(Inflation)'!$E$18='CPI(Inflation)'!$C$33,'CPI(Inflation)'!$C39,IF('CPI(Inflation)'!$E$18='CPI(Inflation)'!$D$33,'CPI(Inflation)'!$D39,IF('CPI(Inflation)'!$E$18='CPI(Inflation)'!$E$33,'CPI(Inflation)'!$E39,1))))</f>
        <v>2</v>
      </c>
      <c r="AF76" s="73">
        <f t="shared" si="13"/>
        <v>2.2000000000000002</v>
      </c>
      <c r="AG76" s="87">
        <f>IF(PMI!$F$21=PMI!$B$43,PMI!$B49,IF(PMI!$F$21=PMI!$C$43,PMI!$C49,IF(PMI!$F$21=PMI!$D$43,PMI!$D49,IF(PMI!$F$21=PMI!$E$43,PMI!$E49,1))))</f>
        <v>2</v>
      </c>
      <c r="AH76" s="44">
        <f>BNP!I112</f>
        <v>4</v>
      </c>
      <c r="AI76" s="44">
        <f>IF('10 yr rate'!$E$20='10 yr rate'!$B$35,'10 yr rate'!$B41,IF('10 yr rate'!$E$20='10 yr rate'!$C$35,'10 yr rate'!$C41,IF('10 yr rate'!$E$20='10 yr rate'!$D$35,'10 yr rate'!$D41,IF('10 yr rate'!$E$20='10 yr rate'!$E$35,'10 yr rate'!$E41,1))))</f>
        <v>2</v>
      </c>
      <c r="AJ76" s="44">
        <f>IF('CPI(Inflation)'!$E$18='CPI(Inflation)'!$B$33,'CPI(Inflation)'!$B39,IF('CPI(Inflation)'!$E$18='CPI(Inflation)'!$C$33,'CPI(Inflation)'!$C39,IF('CPI(Inflation)'!$E$18='CPI(Inflation)'!$D$33,'CPI(Inflation)'!$D39,IF('CPI(Inflation)'!$E$18='CPI(Inflation)'!$E$33,'CPI(Inflation)'!$E39,1))))</f>
        <v>2</v>
      </c>
      <c r="AK76" s="44">
        <f>'Baltic Dry Index'!B39</f>
        <v>4</v>
      </c>
      <c r="AL76" s="44">
        <f>IF(VIX!$F$5=VIX!$B$33,VIX!B39,IF(VIX!$F$5=VIX!$C$33,VIX!C39,IF(VIX!$F$5=VIX!$D$33,VIX!D39,IF(VIX!$F$5=VIX!$E$33,VIX!E39,1))))</f>
        <v>4</v>
      </c>
      <c r="AM76" s="44">
        <f>IF(Currency!$F$5=Currency!$B$33,Currency!B39,IF(Currency!$F$5=Currency!$C$33,Currency!C39,IF(Currency!$F$5=Currency!$D$33,Currency!D39,IF(Currency!$F$5=Currency!$E$33,Currency!E39,1))))</f>
        <v>3</v>
      </c>
      <c r="AN76" s="44">
        <f>IF(Unemployment!$F$5=Unemployment!$B$33,Unemployment!B39,IF(Unemployment!$F$5=Unemployment!$C$33,Unemployment!C39,IF(Unemployment!$F$5=Unemployment!$D$33,Unemployment!D39,IF(Unemployment!$F$5=Unemployment!$E$33,Unemployment!E39,1))))</f>
        <v>3</v>
      </c>
      <c r="AO76" s="90">
        <f t="shared" si="14"/>
        <v>2.7780999999999998</v>
      </c>
      <c r="AP76" s="87">
        <f>IF(PMI!$F$22=PMI!$B$43,PMI!$B49,IF(PMI!$F$22=PMI!$C$43,PMI!$C49,IF(PMI!$F$22=PMI!$D$44,PMI!$D49,IF(PMI!$F$22=PMI!$E$43,PMI!$E49,1))))</f>
        <v>2</v>
      </c>
      <c r="AQ76" s="44">
        <f>BNP!J112</f>
        <v>1</v>
      </c>
      <c r="AR76" s="44">
        <f>IF('10 yr rate'!$E$21='10 yr rate'!$B$35,'10 yr rate'!$B41,IF('10 yr rate'!$E$21='10 yr rate'!$C$35,'10 yr rate'!$C41,IF('10 yr rate'!$E$21='10 yr rate'!$D$35,'10 yr rate'!$D41,IF('10 yr rate'!$E$21='10 yr rate'!$E$35,'10 yr rate'!$E41,1))))</f>
        <v>2</v>
      </c>
      <c r="AS76" s="44">
        <f>IF('CPI(Inflation)'!$E$19='CPI(Inflation)'!$B$33,'CPI(Inflation)'!$B39,IF('CPI(Inflation)'!$E$19='CPI(Inflation)'!$C$33,'CPI(Inflation)'!$C39,IF('CPI(Inflation)'!$E$19='CPI(Inflation)'!$D$33,'CPI(Inflation)'!$D39,IF('CPI(Inflation)'!$E$19='CPI(Inflation)'!$E$33,'CPI(Inflation)'!$E39,1))))</f>
        <v>4</v>
      </c>
      <c r="AT76" s="44">
        <f>'Baltic Dry Index'!B39</f>
        <v>4</v>
      </c>
      <c r="AU76" s="44">
        <f>IF(VIX!$F$6=VIX!$B$33,VIX!B39,IF(VIX!$F$6=VIX!$C$33,VIX!C39,IF(VIX!$F$6=VIX!$D$33,VIX!D39,IF(VIX!$F$6=VIX!$E$33,VIX!E39,1))))</f>
        <v>2</v>
      </c>
      <c r="AV76" s="44">
        <f>IF(Currency!$F$6=Currency!$B$33,Currency!B39,IF(Currency!$F$6=Currency!$C$33,Currency!C39,IF(Currency!$F$6=Currency!$D$33,Currency!D39,IF(Currency!$F$6=Currency!$E$33,Currency!E39,1))))</f>
        <v>2</v>
      </c>
      <c r="AW76" s="44">
        <f>IF(Unemployment!$F$6=Unemployment!$B$33,Unemployment!B39,IF(Unemployment!$F$6=Unemployment!$C$33,Unemployment!C39,IF(Unemployment!$F$6=Unemployment!$D$33,Unemployment!D39,IF(Unemployment!$F$6=Unemployment!$E$33,Unemployment!E39,1))))</f>
        <v>3</v>
      </c>
      <c r="AX76" s="90">
        <f t="shared" si="15"/>
        <v>2.3058999999999998</v>
      </c>
    </row>
    <row r="77" spans="2:89" x14ac:dyDescent="0.3">
      <c r="B77" s="53" t="s">
        <v>15</v>
      </c>
      <c r="C77" s="51">
        <f>IF(PMI!$F$15=PMI!$B$43,PMI!$B50,IF(PMI!$F$15=PMI!$C$43,PMI!$C50,IF(PMI!$F$15=PMI!$D$44,PMI!$D74,IF(PMI!$F$15=PMI!$E$43,PMI!$E50,1))))</f>
        <v>2</v>
      </c>
      <c r="D77" s="44">
        <f>BNP!C117</f>
        <v>4</v>
      </c>
      <c r="E77" s="44">
        <f>IF('10 yr rate'!$E$14='10 yr rate'!$B$35,'10 yr rate'!$B42,IF('10 yr rate'!$E$14='10 yr rate'!$C$35,'10 yr rate'!$C42,IF('10 yr rate'!$E$14='10 yr rate'!$D$35,'10 yr rate'!$D42,IF('10 yr rate'!$E$14='10 yr rate'!$E$36,'10 yr rate'!$E42,1))))</f>
        <v>2</v>
      </c>
      <c r="F77" s="44">
        <f>IF('CPI(Inflation)'!$E$13='CPI(Inflation)'!$B$33,'CPI(Inflation)'!$B40,IF('CPI(Inflation)'!$E$13='CPI(Inflation)'!$C$33,'CPI(Inflation)'!$C40,IF('CPI(Inflation)'!$E$13='CPI(Inflation)'!$D$33,'CPI(Inflation)'!$D40,IF('CPI(Inflation)'!$E$13='CPI(Inflation)'!$E$33,'CPI(Inflation)'!$E40,1))))</f>
        <v>2</v>
      </c>
      <c r="G77" s="73">
        <f t="shared" si="8"/>
        <v>2.4</v>
      </c>
      <c r="H77" s="51">
        <f>IF(PMI!$F$16=PMI!$B$43,PMI!$B50,IF(PMI!$F$16=PMI!$C$43,PMI!$C50,IF(PMI!$F$16=PMI!$D$44,PMI!$D74,IF(PMI!$F$16=PMI!$E$43,PMI!$E50,1))))</f>
        <v>2</v>
      </c>
      <c r="I77" s="44">
        <f>BNP!D117</f>
        <v>3</v>
      </c>
      <c r="J77" s="44">
        <f>IF('10 yr rate'!$E$15='10 yr rate'!$B$35,'10 yr rate'!$B42,IF('10 yr rate'!$E$15='10 yr rate'!$C$35,'10 yr rate'!$C42,IF('10 yr rate'!$E$15='10 yr rate'!$D$35,'10 yr rate'!$D42,IF('10 yr rate'!$E$15='10 yr rate'!$E$36,'10 yr rate'!$E42,1))))</f>
        <v>2</v>
      </c>
      <c r="K77" s="44">
        <f>IF('CPI(Inflation)'!$E$14='CPI(Inflation)'!$B$33,'CPI(Inflation)'!$B40,IF('CPI(Inflation)'!$E$14='CPI(Inflation)'!$C$33,'CPI(Inflation)'!$C40,IF('CPI(Inflation)'!$E$14='CPI(Inflation)'!$D$33,'CPI(Inflation)'!$D40,IF('CPI(Inflation)'!$E$14='CPI(Inflation)'!$E$33,'CPI(Inflation)'!$E40,1))))</f>
        <v>2</v>
      </c>
      <c r="L77" s="73">
        <f t="shared" si="9"/>
        <v>2.2000000000000002</v>
      </c>
      <c r="M77" s="51">
        <f>IF(PMI!$F$17=PMI!$B$43,PMI!$B50,IF(PMI!$F$17=PMI!$C$43,PMI!$C50,IF(PMI!$F$17=PMI!$D$44,PMI!$D50,IF(PMI!$F$17=PMI!$E$43,PMI!$E50,1))))</f>
        <v>2</v>
      </c>
      <c r="N77" s="44">
        <f>BNP!E117</f>
        <v>3</v>
      </c>
      <c r="O77" s="44">
        <f>IF('10 yr rate'!$E$16='10 yr rate'!$B$35,'10 yr rate'!$B42,IF('10 yr rate'!$E$16='10 yr rate'!$C$35,'10 yr rate'!$C42,IF('10 yr rate'!$E$16='10 yr rate'!$D$35,'10 yr rate'!$D42,IF('10 yr rate'!$E$16='10 yr rate'!$E$36,'10 yr rate'!$E42,1))))</f>
        <v>2</v>
      </c>
      <c r="P77" s="44">
        <f>IF('CPI(Inflation)'!$E$15='CPI(Inflation)'!$B$33,'CPI(Inflation)'!$B40,IF('CPI(Inflation)'!$E$15='CPI(Inflation)'!$C$33,'CPI(Inflation)'!$C40,IF('CPI(Inflation)'!$E$15='CPI(Inflation)'!$D$33,'CPI(Inflation)'!$D40,IF('CPI(Inflation)'!$E$15='CPI(Inflation)'!$E$33,'CPI(Inflation)'!$E40,1))))</f>
        <v>2</v>
      </c>
      <c r="Q77" s="73">
        <f t="shared" si="10"/>
        <v>2.2000000000000002</v>
      </c>
      <c r="R77" s="51">
        <f>IF(PMI!$F$17=PMI!$B$43,PMI!$B50,IF(PMI!$F$17=PMI!$C$43,PMI!$C50,IF(PMI!$F$17=PMI!$D$44,PMI!$D74,IF(PMI!$F$17=PMI!$E$43,PMI!$E50,1))))</f>
        <v>2</v>
      </c>
      <c r="S77" s="44">
        <f>BNP!F117</f>
        <v>3</v>
      </c>
      <c r="T77" s="44">
        <f>IF('10 yr rate'!$E$17='10 yr rate'!$B$35,'10 yr rate'!$B42,IF('10 yr rate'!$E$17='10 yr rate'!$C$35,'10 yr rate'!$C42,IF('10 yr rate'!$E$17='10 yr rate'!$D$35,'10 yr rate'!$D42,IF('10 yr rate'!$E$17='10 yr rate'!$E$36,'10 yr rate'!$E42,1))))</f>
        <v>2</v>
      </c>
      <c r="U77" s="44">
        <f>IF('CPI(Inflation)'!$E$16='CPI(Inflation)'!$B$33,'CPI(Inflation)'!$B40,IF('CPI(Inflation)'!$E$16='CPI(Inflation)'!$C$33,'CPI(Inflation)'!$C40,IF('CPI(Inflation)'!$E$16='CPI(Inflation)'!$D$33,'CPI(Inflation)'!$D40,IF('CPI(Inflation)'!$E$16='CPI(Inflation)'!$E$33,'CPI(Inflation)'!$E40,1))))</f>
        <v>2</v>
      </c>
      <c r="V77" s="73">
        <f t="shared" si="11"/>
        <v>2.2000000000000002</v>
      </c>
      <c r="W77" s="51">
        <f>IF(PMI!$F$19=PMI!$B$43,PMI!$B50,IF(PMI!$F$19=PMI!$C$43,PMI!$C50,IF(PMI!$F$19=PMI!$D$44,PMI!$D50,IF(PMI!$F$19=PMI!$E$43,PMI!$E50,1))))</f>
        <v>2</v>
      </c>
      <c r="X77" s="44">
        <f>BNP!G117</f>
        <v>2</v>
      </c>
      <c r="Y77" s="44">
        <f>IF('10 yr rate'!$E$18='10 yr rate'!$B$35,'10 yr rate'!$B42,IF('10 yr rate'!$E$18='10 yr rate'!$C$35,'10 yr rate'!$C42,IF('10 yr rate'!$E$18='10 yr rate'!$D$35,'10 yr rate'!$D42,IF('10 yr rate'!$E$18='10 yr rate'!$E$36,'10 yr rate'!$E42,1))))</f>
        <v>2</v>
      </c>
      <c r="Z77" s="44">
        <f>IF('CPI(Inflation)'!$E$17='CPI(Inflation)'!$B$33,'CPI(Inflation)'!$B40,IF('CPI(Inflation)'!$E$17='CPI(Inflation)'!$C$33,'CPI(Inflation)'!$C40,IF('CPI(Inflation)'!$E$17='CPI(Inflation)'!$D$33,'CPI(Inflation)'!$D40,IF('CPI(Inflation)'!$E$17='CPI(Inflation)'!$E$33,'CPI(Inflation)'!$E40,1))))</f>
        <v>2</v>
      </c>
      <c r="AA77" s="73">
        <f t="shared" si="12"/>
        <v>2</v>
      </c>
      <c r="AB77" s="51">
        <f>IF(PMI!$F$20=PMI!$B$43,PMI!$B50,IF(PMI!$F$20=PMI!$C$43,PMI!$C50,IF(PMI!$F$20=PMI!$D$44,PMI!$D50,IF(PMI!$F$20=PMI!$E$43,PMI!$E50,1))))</f>
        <v>2</v>
      </c>
      <c r="AC77" s="44">
        <f>BNP!H117</f>
        <v>4</v>
      </c>
      <c r="AD77" s="44">
        <f>IF('10 yr rate'!$E$19='10 yr rate'!$B$35,'10 yr rate'!$B42,IF('10 yr rate'!$E$19='10 yr rate'!$C$35,'10 yr rate'!$C42,IF('10 yr rate'!$E$19='10 yr rate'!$D$35,'10 yr rate'!$D42,IF('10 yr rate'!$E$19='10 yr rate'!$E$36,'10 yr rate'!$E42,1))))</f>
        <v>2</v>
      </c>
      <c r="AE77" s="44">
        <f>IF('CPI(Inflation)'!$E$18='CPI(Inflation)'!$B$33,'CPI(Inflation)'!$B40,IF('CPI(Inflation)'!$E$18='CPI(Inflation)'!$C$33,'CPI(Inflation)'!$C40,IF('CPI(Inflation)'!$E$18='CPI(Inflation)'!$D$33,'CPI(Inflation)'!$D40,IF('CPI(Inflation)'!$E$18='CPI(Inflation)'!$E$33,'CPI(Inflation)'!$E40,1))))</f>
        <v>2</v>
      </c>
      <c r="AF77" s="73">
        <f t="shared" si="13"/>
        <v>2.4</v>
      </c>
      <c r="AG77" s="87">
        <f>IF(PMI!$F$21=PMI!$B$43,PMI!$B50,IF(PMI!$F$21=PMI!$C$43,PMI!$C50,IF(PMI!$F$21=PMI!$D$43,PMI!$D50,IF(PMI!$F$21=PMI!$E$43,PMI!$E50,1))))</f>
        <v>2</v>
      </c>
      <c r="AH77" s="44">
        <f>BNP!I117</f>
        <v>3</v>
      </c>
      <c r="AI77" s="44">
        <f>IF('10 yr rate'!$E$20='10 yr rate'!$B$35,'10 yr rate'!$B42,IF('10 yr rate'!$E$20='10 yr rate'!$C$35,'10 yr rate'!$C42,IF('10 yr rate'!$E$20='10 yr rate'!$D$35,'10 yr rate'!$D42,IF('10 yr rate'!$E$20='10 yr rate'!$E$35,'10 yr rate'!$E42,1))))</f>
        <v>2</v>
      </c>
      <c r="AJ77" s="44">
        <f>IF('CPI(Inflation)'!$E$18='CPI(Inflation)'!$B$33,'CPI(Inflation)'!$B40,IF('CPI(Inflation)'!$E$18='CPI(Inflation)'!$C$33,'CPI(Inflation)'!$C40,IF('CPI(Inflation)'!$E$18='CPI(Inflation)'!$D$33,'CPI(Inflation)'!$D40,IF('CPI(Inflation)'!$E$18='CPI(Inflation)'!$E$33,'CPI(Inflation)'!$E40,1))))</f>
        <v>2</v>
      </c>
      <c r="AK77" s="44">
        <f>'Baltic Dry Index'!B40</f>
        <v>2</v>
      </c>
      <c r="AL77" s="44">
        <f>IF(VIX!$F$5=VIX!$B$33,VIX!B40,IF(VIX!$F$5=VIX!$C$33,VIX!C40,IF(VIX!$F$5=VIX!$D$33,VIX!D40,IF(VIX!$F$5=VIX!$E$33,VIX!E40,1))))</f>
        <v>2</v>
      </c>
      <c r="AM77" s="44">
        <f>IF(Currency!$F$5=Currency!$B$33,Currency!B40,IF(Currency!$F$5=Currency!$C$33,Currency!C40,IF(Currency!$F$5=Currency!$D$33,Currency!D40,IF(Currency!$F$5=Currency!$E$33,Currency!E40,1))))</f>
        <v>4</v>
      </c>
      <c r="AN77" s="44">
        <f>IF(Unemployment!$F$5=Unemployment!$B$33,Unemployment!B40,IF(Unemployment!$F$5=Unemployment!$C$33,Unemployment!C40,IF(Unemployment!$F$5=Unemployment!$D$33,Unemployment!D40,IF(Unemployment!$F$5=Unemployment!$E$33,Unemployment!E40,1))))</f>
        <v>4</v>
      </c>
      <c r="AO77" s="90">
        <f t="shared" si="14"/>
        <v>2.528</v>
      </c>
      <c r="AP77" s="87">
        <f>IF(PMI!$F$22=PMI!$B$43,PMI!$B50,IF(PMI!$F$22=PMI!$C$43,PMI!$C50,IF(PMI!$F$22=PMI!$D$44,PMI!$D50,IF(PMI!$F$22=PMI!$E$43,PMI!$E50,1))))</f>
        <v>2</v>
      </c>
      <c r="AQ77" s="44">
        <f>BNP!J117</f>
        <v>2</v>
      </c>
      <c r="AR77" s="44">
        <f>IF('10 yr rate'!$E$21='10 yr rate'!$B$35,'10 yr rate'!$B42,IF('10 yr rate'!$E$21='10 yr rate'!$C$35,'10 yr rate'!$C42,IF('10 yr rate'!$E$21='10 yr rate'!$D$35,'10 yr rate'!$D42,IF('10 yr rate'!$E$21='10 yr rate'!$E$35,'10 yr rate'!$E42,1))))</f>
        <v>2</v>
      </c>
      <c r="AS77" s="44">
        <f>IF('CPI(Inflation)'!$E$19='CPI(Inflation)'!$B$33,'CPI(Inflation)'!$B40,IF('CPI(Inflation)'!$E$19='CPI(Inflation)'!$C$33,'CPI(Inflation)'!$C40,IF('CPI(Inflation)'!$E$19='CPI(Inflation)'!$D$33,'CPI(Inflation)'!$D40,IF('CPI(Inflation)'!$E$19='CPI(Inflation)'!$E$33,'CPI(Inflation)'!$E40,1))))</f>
        <v>2</v>
      </c>
      <c r="AT77" s="44">
        <f>'Baltic Dry Index'!B40</f>
        <v>2</v>
      </c>
      <c r="AU77" s="44">
        <f>IF(VIX!$F$6=VIX!$B$33,VIX!B40,IF(VIX!$F$6=VIX!$C$33,VIX!C40,IF(VIX!$F$6=VIX!$D$33,VIX!D40,IF(VIX!$F$6=VIX!$E$33,VIX!E40,1))))</f>
        <v>5</v>
      </c>
      <c r="AV77" s="44">
        <f>IF(Currency!$F$6=Currency!$B$33,Currency!B40,IF(Currency!$F$6=Currency!$C$33,Currency!C40,IF(Currency!$F$6=Currency!$D$33,Currency!D40,IF(Currency!$F$6=Currency!$E$33,Currency!E40,1))))</f>
        <v>2</v>
      </c>
      <c r="AW77" s="44">
        <f>IF(Unemployment!$F$6=Unemployment!$B$33,Unemployment!B40,IF(Unemployment!$F$6=Unemployment!$C$33,Unemployment!C40,IF(Unemployment!$F$6=Unemployment!$D$33,Unemployment!D40,IF(Unemployment!$F$6=Unemployment!$E$33,Unemployment!E40,1))))</f>
        <v>4</v>
      </c>
      <c r="AX77" s="90">
        <f t="shared" si="15"/>
        <v>2.3891999999999998</v>
      </c>
    </row>
    <row r="78" spans="2:89" x14ac:dyDescent="0.3">
      <c r="B78" s="53" t="s">
        <v>16</v>
      </c>
      <c r="C78" s="51">
        <f>IF(PMI!$F$15=PMI!$B$43,PMI!$B51,IF(PMI!$F$15=PMI!$C$43,PMI!$C51,IF(PMI!$F$15=PMI!$D$44,PMI!$D75,IF(PMI!$F$15=PMI!$E$43,PMI!$E51,1))))</f>
        <v>2</v>
      </c>
      <c r="D78" s="44">
        <f>BNP!C122</f>
        <v>3</v>
      </c>
      <c r="E78" s="44">
        <f>IF('10 yr rate'!$E$14='10 yr rate'!$B$35,'10 yr rate'!$B43,IF('10 yr rate'!$E$14='10 yr rate'!$C$35,'10 yr rate'!$C43,IF('10 yr rate'!$E$14='10 yr rate'!$D$35,'10 yr rate'!$D43,IF('10 yr rate'!$E$14='10 yr rate'!$E$36,'10 yr rate'!$E43,1))))</f>
        <v>2</v>
      </c>
      <c r="F78" s="44">
        <f>IF('CPI(Inflation)'!$E$13='CPI(Inflation)'!$B$33,'CPI(Inflation)'!$B41,IF('CPI(Inflation)'!$E$13='CPI(Inflation)'!$C$33,'CPI(Inflation)'!$C41,IF('CPI(Inflation)'!$E$13='CPI(Inflation)'!$D$33,'CPI(Inflation)'!$D41,IF('CPI(Inflation)'!$E$13='CPI(Inflation)'!$E$33,'CPI(Inflation)'!$E41,1))))</f>
        <v>3</v>
      </c>
      <c r="G78" s="73">
        <f t="shared" si="8"/>
        <v>2.5</v>
      </c>
      <c r="H78" s="51">
        <f>IF(PMI!$F$16=PMI!$B$43,PMI!$B51,IF(PMI!$F$16=PMI!$C$43,PMI!$C51,IF(PMI!$F$16=PMI!$D$44,PMI!$D75,IF(PMI!$F$16=PMI!$E$43,PMI!$E51,1))))</f>
        <v>2</v>
      </c>
      <c r="I78" s="44">
        <f>BNP!D122</f>
        <v>1</v>
      </c>
      <c r="J78" s="44">
        <f>IF('10 yr rate'!$E$15='10 yr rate'!$B$35,'10 yr rate'!$B43,IF('10 yr rate'!$E$15='10 yr rate'!$C$35,'10 yr rate'!$C43,IF('10 yr rate'!$E$15='10 yr rate'!$D$35,'10 yr rate'!$D43,IF('10 yr rate'!$E$15='10 yr rate'!$E$36,'10 yr rate'!$E43,1))))</f>
        <v>2</v>
      </c>
      <c r="K78" s="44">
        <f>IF('CPI(Inflation)'!$E$14='CPI(Inflation)'!$B$33,'CPI(Inflation)'!$B41,IF('CPI(Inflation)'!$E$14='CPI(Inflation)'!$C$33,'CPI(Inflation)'!$C41,IF('CPI(Inflation)'!$E$14='CPI(Inflation)'!$D$33,'CPI(Inflation)'!$D41,IF('CPI(Inflation)'!$E$14='CPI(Inflation)'!$E$33,'CPI(Inflation)'!$E41,1))))</f>
        <v>3</v>
      </c>
      <c r="L78" s="73">
        <f t="shared" si="9"/>
        <v>2.1</v>
      </c>
      <c r="M78" s="51">
        <f>IF(PMI!$F$17=PMI!$B$43,PMI!$B51,IF(PMI!$F$17=PMI!$C$43,PMI!$C51,IF(PMI!$F$17=PMI!$D$44,PMI!$D51,IF(PMI!$F$17=PMI!$E$43,PMI!$E51,1))))</f>
        <v>2</v>
      </c>
      <c r="N78" s="44">
        <f>BNP!E122</f>
        <v>1</v>
      </c>
      <c r="O78" s="44">
        <f>IF('10 yr rate'!$E$16='10 yr rate'!$B$35,'10 yr rate'!$B43,IF('10 yr rate'!$E$16='10 yr rate'!$C$35,'10 yr rate'!$C43,IF('10 yr rate'!$E$16='10 yr rate'!$D$35,'10 yr rate'!$D43,IF('10 yr rate'!$E$16='10 yr rate'!$E$36,'10 yr rate'!$E43,1))))</f>
        <v>2</v>
      </c>
      <c r="P78" s="44">
        <f>IF('CPI(Inflation)'!$E$15='CPI(Inflation)'!$B$33,'CPI(Inflation)'!$B41,IF('CPI(Inflation)'!$E$15='CPI(Inflation)'!$C$33,'CPI(Inflation)'!$C41,IF('CPI(Inflation)'!$E$15='CPI(Inflation)'!$D$33,'CPI(Inflation)'!$D41,IF('CPI(Inflation)'!$E$15='CPI(Inflation)'!$E$33,'CPI(Inflation)'!$E41,1))))</f>
        <v>3</v>
      </c>
      <c r="Q78" s="73">
        <f t="shared" si="10"/>
        <v>2.1</v>
      </c>
      <c r="R78" s="51">
        <f>IF(PMI!$F$17=PMI!$B$43,PMI!$B51,IF(PMI!$F$17=PMI!$C$43,PMI!$C51,IF(PMI!$F$17=PMI!$D$44,PMI!$D75,IF(PMI!$F$17=PMI!$E$43,PMI!$E51,1))))</f>
        <v>2</v>
      </c>
      <c r="S78" s="44">
        <f>BNP!F122</f>
        <v>1</v>
      </c>
      <c r="T78" s="44">
        <f>IF('10 yr rate'!$E$17='10 yr rate'!$B$35,'10 yr rate'!$B43,IF('10 yr rate'!$E$17='10 yr rate'!$C$35,'10 yr rate'!$C43,IF('10 yr rate'!$E$17='10 yr rate'!$D$35,'10 yr rate'!$D43,IF('10 yr rate'!$E$17='10 yr rate'!$E$36,'10 yr rate'!$E43,1))))</f>
        <v>2</v>
      </c>
      <c r="U78" s="44">
        <f>IF('CPI(Inflation)'!$E$16='CPI(Inflation)'!$B$33,'CPI(Inflation)'!$B41,IF('CPI(Inflation)'!$E$16='CPI(Inflation)'!$C$33,'CPI(Inflation)'!$C41,IF('CPI(Inflation)'!$E$16='CPI(Inflation)'!$D$33,'CPI(Inflation)'!$D41,IF('CPI(Inflation)'!$E$16='CPI(Inflation)'!$E$33,'CPI(Inflation)'!$E41,1))))</f>
        <v>3</v>
      </c>
      <c r="V78" s="73">
        <f t="shared" si="11"/>
        <v>2.1</v>
      </c>
      <c r="W78" s="51">
        <f>IF(PMI!$F$19=PMI!$B$43,PMI!$B51,IF(PMI!$F$19=PMI!$C$43,PMI!$C51,IF(PMI!$F$19=PMI!$D$44,PMI!$D51,IF(PMI!$F$19=PMI!$E$43,PMI!$E51,1))))</f>
        <v>3</v>
      </c>
      <c r="X78" s="44">
        <f>BNP!G122</f>
        <v>3</v>
      </c>
      <c r="Y78" s="44">
        <f>IF('10 yr rate'!$E$18='10 yr rate'!$B$35,'10 yr rate'!$B43,IF('10 yr rate'!$E$18='10 yr rate'!$C$35,'10 yr rate'!$C43,IF('10 yr rate'!$E$18='10 yr rate'!$D$35,'10 yr rate'!$D43,IF('10 yr rate'!$E$18='10 yr rate'!$E$36,'10 yr rate'!$E43,1))))</f>
        <v>3</v>
      </c>
      <c r="Z78" s="44">
        <f>IF('CPI(Inflation)'!$E$17='CPI(Inflation)'!$B$33,'CPI(Inflation)'!$B41,IF('CPI(Inflation)'!$E$17='CPI(Inflation)'!$C$33,'CPI(Inflation)'!$C41,IF('CPI(Inflation)'!$E$17='CPI(Inflation)'!$D$33,'CPI(Inflation)'!$D41,IF('CPI(Inflation)'!$E$17='CPI(Inflation)'!$E$33,'CPI(Inflation)'!$E41,1))))</f>
        <v>2</v>
      </c>
      <c r="AA78" s="73">
        <f t="shared" si="12"/>
        <v>2.7</v>
      </c>
      <c r="AB78" s="51">
        <f>IF(PMI!$F$20=PMI!$B$43,PMI!$B51,IF(PMI!$F$20=PMI!$C$43,PMI!$C51,IF(PMI!$F$20=PMI!$D$44,PMI!$D51,IF(PMI!$F$20=PMI!$E$43,PMI!$E51,1))))</f>
        <v>3</v>
      </c>
      <c r="AC78" s="44">
        <f>BNP!H122</f>
        <v>3</v>
      </c>
      <c r="AD78" s="44">
        <f>IF('10 yr rate'!$E$19='10 yr rate'!$B$35,'10 yr rate'!$B43,IF('10 yr rate'!$E$19='10 yr rate'!$C$35,'10 yr rate'!$C43,IF('10 yr rate'!$E$19='10 yr rate'!$D$35,'10 yr rate'!$D43,IF('10 yr rate'!$E$19='10 yr rate'!$E$36,'10 yr rate'!$E43,1))))</f>
        <v>3</v>
      </c>
      <c r="AE78" s="44">
        <f>IF('CPI(Inflation)'!$E$18='CPI(Inflation)'!$B$33,'CPI(Inflation)'!$B41,IF('CPI(Inflation)'!$E$18='CPI(Inflation)'!$C$33,'CPI(Inflation)'!$C41,IF('CPI(Inflation)'!$E$18='CPI(Inflation)'!$D$33,'CPI(Inflation)'!$D41,IF('CPI(Inflation)'!$E$18='CPI(Inflation)'!$E$33,'CPI(Inflation)'!$E41,1))))</f>
        <v>3</v>
      </c>
      <c r="AF78" s="73">
        <f t="shared" si="13"/>
        <v>3</v>
      </c>
      <c r="AG78" s="87">
        <f>IF(PMI!$F$21=PMI!$B$43,PMI!$B51,IF(PMI!$F$21=PMI!$C$43,PMI!$C51,IF(PMI!$F$21=PMI!$D$43,PMI!$D51,IF(PMI!$F$21=PMI!$E$43,PMI!$E51,1))))</f>
        <v>3</v>
      </c>
      <c r="AH78" s="44">
        <f>BNP!I122</f>
        <v>1</v>
      </c>
      <c r="AI78" s="44">
        <f>IF('10 yr rate'!$E$20='10 yr rate'!$B$35,'10 yr rate'!$B43,IF('10 yr rate'!$E$20='10 yr rate'!$C$35,'10 yr rate'!$C43,IF('10 yr rate'!$E$20='10 yr rate'!$D$35,'10 yr rate'!$D43,IF('10 yr rate'!$E$20='10 yr rate'!$E$35,'10 yr rate'!$E43,1))))</f>
        <v>3</v>
      </c>
      <c r="AJ78" s="44">
        <f>IF('CPI(Inflation)'!$E$18='CPI(Inflation)'!$B$33,'CPI(Inflation)'!$B41,IF('CPI(Inflation)'!$E$18='CPI(Inflation)'!$C$33,'CPI(Inflation)'!$C41,IF('CPI(Inflation)'!$E$18='CPI(Inflation)'!$D$33,'CPI(Inflation)'!$D41,IF('CPI(Inflation)'!$E$18='CPI(Inflation)'!$E$33,'CPI(Inflation)'!$E41,1))))</f>
        <v>3</v>
      </c>
      <c r="AK78" s="44">
        <f>'Baltic Dry Index'!B41</f>
        <v>2</v>
      </c>
      <c r="AL78" s="44">
        <f>IF(VIX!$F$5=VIX!$B$33,VIX!B41,IF(VIX!$F$5=VIX!$C$33,VIX!C41,IF(VIX!$F$5=VIX!$D$33,VIX!D41,IF(VIX!$F$5=VIX!$E$33,VIX!E41,1))))</f>
        <v>2</v>
      </c>
      <c r="AM78" s="44">
        <f>IF(Currency!$F$5=Currency!$B$33,Currency!B41,IF(Currency!$F$5=Currency!$C$33,Currency!C41,IF(Currency!$F$5=Currency!$D$33,Currency!D41,IF(Currency!$F$5=Currency!$E$33,Currency!E41,1))))</f>
        <v>3</v>
      </c>
      <c r="AN78" s="44">
        <f>IF(Unemployment!$F$5=Unemployment!$B$33,Unemployment!B41,IF(Unemployment!$F$5=Unemployment!$C$33,Unemployment!C41,IF(Unemployment!$F$5=Unemployment!$D$33,Unemployment!D41,IF(Unemployment!$F$5=Unemployment!$E$33,Unemployment!E41,1))))</f>
        <v>3</v>
      </c>
      <c r="AO78" s="90">
        <f t="shared" si="14"/>
        <v>2.5002999999999997</v>
      </c>
      <c r="AP78" s="87">
        <f>IF(PMI!$F$22=PMI!$B$43,PMI!$B51,IF(PMI!$F$22=PMI!$C$43,PMI!$C51,IF(PMI!$F$22=PMI!$D$44,PMI!$D51,IF(PMI!$F$22=PMI!$E$43,PMI!$E51,1))))</f>
        <v>3</v>
      </c>
      <c r="AQ78" s="44">
        <f>BNP!J122</f>
        <v>3</v>
      </c>
      <c r="AR78" s="44">
        <f>IF('10 yr rate'!$E$21='10 yr rate'!$B$35,'10 yr rate'!$B43,IF('10 yr rate'!$E$21='10 yr rate'!$C$35,'10 yr rate'!$C43,IF('10 yr rate'!$E$21='10 yr rate'!$D$35,'10 yr rate'!$D43,IF('10 yr rate'!$E$21='10 yr rate'!$E$35,'10 yr rate'!$E43,1))))</f>
        <v>3</v>
      </c>
      <c r="AS78" s="44">
        <f>IF('CPI(Inflation)'!$E$19='CPI(Inflation)'!$B$33,'CPI(Inflation)'!$B41,IF('CPI(Inflation)'!$E$19='CPI(Inflation)'!$C$33,'CPI(Inflation)'!$C41,IF('CPI(Inflation)'!$E$19='CPI(Inflation)'!$D$33,'CPI(Inflation)'!$D41,IF('CPI(Inflation)'!$E$19='CPI(Inflation)'!$E$33,'CPI(Inflation)'!$E41,1))))</f>
        <v>2</v>
      </c>
      <c r="AT78" s="44">
        <f>'Baltic Dry Index'!B41</f>
        <v>2</v>
      </c>
      <c r="AU78" s="44">
        <f>IF(VIX!$F$6=VIX!$B$33,VIX!B41,IF(VIX!$F$6=VIX!$C$33,VIX!C41,IF(VIX!$F$6=VIX!$D$33,VIX!D41,IF(VIX!$F$6=VIX!$E$33,VIX!E41,1))))</f>
        <v>5</v>
      </c>
      <c r="AV78" s="44">
        <f>IF(Currency!$F$6=Currency!$B$33,Currency!B41,IF(Currency!$F$6=Currency!$C$33,Currency!C41,IF(Currency!$F$6=Currency!$D$33,Currency!D41,IF(Currency!$F$6=Currency!$E$33,Currency!E41,1))))</f>
        <v>3</v>
      </c>
      <c r="AW78" s="44">
        <f>IF(Unemployment!$F$6=Unemployment!$B$33,Unemployment!B41,IF(Unemployment!$F$6=Unemployment!$C$33,Unemployment!C41,IF(Unemployment!$F$6=Unemployment!$D$33,Unemployment!D41,IF(Unemployment!$F$6=Unemployment!$E$33,Unemployment!E41,1))))</f>
        <v>3</v>
      </c>
      <c r="AX78" s="90">
        <f t="shared" si="15"/>
        <v>2.9169999999999998</v>
      </c>
    </row>
    <row r="79" spans="2:89" x14ac:dyDescent="0.3">
      <c r="B79" s="53" t="s">
        <v>17</v>
      </c>
      <c r="C79" s="51">
        <f>IF(PMI!$F$15=PMI!$B$43,PMI!$B52,IF(PMI!$F$15=PMI!$C$43,PMI!$C52,IF(PMI!$F$15=PMI!$D$44,PMI!$D76,IF(PMI!$F$15=PMI!$E$43,PMI!$E52,1))))</f>
        <v>2</v>
      </c>
      <c r="D79" s="44">
        <f>BNP!C127</f>
        <v>5</v>
      </c>
      <c r="E79" s="44">
        <f>IF('10 yr rate'!$E$14='10 yr rate'!$B$35,'10 yr rate'!$B44,IF('10 yr rate'!$E$14='10 yr rate'!$C$35,'10 yr rate'!$C44,IF('10 yr rate'!$E$14='10 yr rate'!$D$35,'10 yr rate'!$D44,IF('10 yr rate'!$E$14='10 yr rate'!$E$36,'10 yr rate'!$E44,1))))</f>
        <v>2</v>
      </c>
      <c r="F79" s="44">
        <f>IF('CPI(Inflation)'!$E$13='CPI(Inflation)'!$B$33,'CPI(Inflation)'!$B42,IF('CPI(Inflation)'!$E$13='CPI(Inflation)'!$C$33,'CPI(Inflation)'!$C42,IF('CPI(Inflation)'!$E$13='CPI(Inflation)'!$D$33,'CPI(Inflation)'!$D42,IF('CPI(Inflation)'!$E$13='CPI(Inflation)'!$E$33,'CPI(Inflation)'!$E42,1))))</f>
        <v>3</v>
      </c>
      <c r="G79" s="73">
        <f t="shared" si="8"/>
        <v>2.9</v>
      </c>
      <c r="H79" s="51">
        <f>IF(PMI!$F$16=PMI!$B$43,PMI!$B52,IF(PMI!$F$16=PMI!$C$43,PMI!$C52,IF(PMI!$F$16=PMI!$D$44,PMI!$D76,IF(PMI!$F$16=PMI!$E$43,PMI!$E52,1))))</f>
        <v>2</v>
      </c>
      <c r="I79" s="44">
        <f>BNP!D127</f>
        <v>1</v>
      </c>
      <c r="J79" s="44">
        <f>IF('10 yr rate'!$E$15='10 yr rate'!$B$35,'10 yr rate'!$B44,IF('10 yr rate'!$E$15='10 yr rate'!$C$35,'10 yr rate'!$C44,IF('10 yr rate'!$E$15='10 yr rate'!$D$35,'10 yr rate'!$D44,IF('10 yr rate'!$E$15='10 yr rate'!$E$36,'10 yr rate'!$E44,1))))</f>
        <v>2</v>
      </c>
      <c r="K79" s="44">
        <f>IF('CPI(Inflation)'!$E$14='CPI(Inflation)'!$B$33,'CPI(Inflation)'!$B42,IF('CPI(Inflation)'!$E$14='CPI(Inflation)'!$C$33,'CPI(Inflation)'!$C42,IF('CPI(Inflation)'!$E$14='CPI(Inflation)'!$D$33,'CPI(Inflation)'!$D42,IF('CPI(Inflation)'!$E$14='CPI(Inflation)'!$E$33,'CPI(Inflation)'!$E42,1))))</f>
        <v>3</v>
      </c>
      <c r="L79" s="73">
        <f t="shared" si="9"/>
        <v>2.1</v>
      </c>
      <c r="M79" s="51">
        <f>IF(PMI!$F$17=PMI!$B$43,PMI!$B52,IF(PMI!$F$17=PMI!$C$43,PMI!$C52,IF(PMI!$F$17=PMI!$D$44,PMI!$D52,IF(PMI!$F$17=PMI!$E$43,PMI!$E52,1))))</f>
        <v>2</v>
      </c>
      <c r="N79" s="44">
        <f>BNP!E127</f>
        <v>1</v>
      </c>
      <c r="O79" s="44">
        <f>IF('10 yr rate'!$E$16='10 yr rate'!$B$35,'10 yr rate'!$B44,IF('10 yr rate'!$E$16='10 yr rate'!$C$35,'10 yr rate'!$C44,IF('10 yr rate'!$E$16='10 yr rate'!$D$35,'10 yr rate'!$D44,IF('10 yr rate'!$E$16='10 yr rate'!$E$36,'10 yr rate'!$E44,1))))</f>
        <v>2</v>
      </c>
      <c r="P79" s="44">
        <f>IF('CPI(Inflation)'!$E$15='CPI(Inflation)'!$B$33,'CPI(Inflation)'!$B42,IF('CPI(Inflation)'!$E$15='CPI(Inflation)'!$C$33,'CPI(Inflation)'!$C42,IF('CPI(Inflation)'!$E$15='CPI(Inflation)'!$D$33,'CPI(Inflation)'!$D42,IF('CPI(Inflation)'!$E$15='CPI(Inflation)'!$E$33,'CPI(Inflation)'!$E42,1))))</f>
        <v>3</v>
      </c>
      <c r="Q79" s="73">
        <f t="shared" si="10"/>
        <v>2.1</v>
      </c>
      <c r="R79" s="51">
        <f>IF(PMI!$F$17=PMI!$B$43,PMI!$B52,IF(PMI!$F$17=PMI!$C$43,PMI!$C52,IF(PMI!$F$17=PMI!$D$44,PMI!$D76,IF(PMI!$F$17=PMI!$E$43,PMI!$E52,1))))</f>
        <v>2</v>
      </c>
      <c r="S79" s="44">
        <f>BNP!F127</f>
        <v>1</v>
      </c>
      <c r="T79" s="44">
        <f>IF('10 yr rate'!$E$17='10 yr rate'!$B$35,'10 yr rate'!$B44,IF('10 yr rate'!$E$17='10 yr rate'!$C$35,'10 yr rate'!$C44,IF('10 yr rate'!$E$17='10 yr rate'!$D$35,'10 yr rate'!$D44,IF('10 yr rate'!$E$17='10 yr rate'!$E$36,'10 yr rate'!$E44,1))))</f>
        <v>2</v>
      </c>
      <c r="U79" s="44">
        <f>IF('CPI(Inflation)'!$E$16='CPI(Inflation)'!$B$33,'CPI(Inflation)'!$B42,IF('CPI(Inflation)'!$E$16='CPI(Inflation)'!$C$33,'CPI(Inflation)'!$C42,IF('CPI(Inflation)'!$E$16='CPI(Inflation)'!$D$33,'CPI(Inflation)'!$D42,IF('CPI(Inflation)'!$E$16='CPI(Inflation)'!$E$33,'CPI(Inflation)'!$E42,1))))</f>
        <v>3</v>
      </c>
      <c r="V79" s="73">
        <f t="shared" si="11"/>
        <v>2.1</v>
      </c>
      <c r="W79" s="51">
        <f>IF(PMI!$F$19=PMI!$B$43,PMI!$B52,IF(PMI!$F$19=PMI!$C$43,PMI!$C52,IF(PMI!$F$19=PMI!$D$44,PMI!$D52,IF(PMI!$F$19=PMI!$E$43,PMI!$E52,1))))</f>
        <v>3</v>
      </c>
      <c r="X79" s="44">
        <f>BNP!G127</f>
        <v>3</v>
      </c>
      <c r="Y79" s="44">
        <f>IF('10 yr rate'!$E$18='10 yr rate'!$B$35,'10 yr rate'!$B44,IF('10 yr rate'!$E$18='10 yr rate'!$C$35,'10 yr rate'!$C44,IF('10 yr rate'!$E$18='10 yr rate'!$D$35,'10 yr rate'!$D44,IF('10 yr rate'!$E$18='10 yr rate'!$E$36,'10 yr rate'!$E44,1))))</f>
        <v>3</v>
      </c>
      <c r="Z79" s="44">
        <f>IF('CPI(Inflation)'!$E$17='CPI(Inflation)'!$B$33,'CPI(Inflation)'!$B42,IF('CPI(Inflation)'!$E$17='CPI(Inflation)'!$C$33,'CPI(Inflation)'!$C42,IF('CPI(Inflation)'!$E$17='CPI(Inflation)'!$D$33,'CPI(Inflation)'!$D42,IF('CPI(Inflation)'!$E$17='CPI(Inflation)'!$E$33,'CPI(Inflation)'!$E42,1))))</f>
        <v>2</v>
      </c>
      <c r="AA79" s="73">
        <f t="shared" si="12"/>
        <v>2.7</v>
      </c>
      <c r="AB79" s="51">
        <f>IF(PMI!$F$20=PMI!$B$43,PMI!$B52,IF(PMI!$F$20=PMI!$C$43,PMI!$C52,IF(PMI!$F$20=PMI!$D$44,PMI!$D52,IF(PMI!$F$20=PMI!$E$43,PMI!$E52,1))))</f>
        <v>3</v>
      </c>
      <c r="AC79" s="44">
        <f>BNP!H127</f>
        <v>5</v>
      </c>
      <c r="AD79" s="44">
        <f>IF('10 yr rate'!$E$19='10 yr rate'!$B$35,'10 yr rate'!$B44,IF('10 yr rate'!$E$19='10 yr rate'!$C$35,'10 yr rate'!$C44,IF('10 yr rate'!$E$19='10 yr rate'!$D$35,'10 yr rate'!$D44,IF('10 yr rate'!$E$19='10 yr rate'!$E$36,'10 yr rate'!$E44,1))))</f>
        <v>3</v>
      </c>
      <c r="AE79" s="44">
        <f>IF('CPI(Inflation)'!$E$18='CPI(Inflation)'!$B$33,'CPI(Inflation)'!$B42,IF('CPI(Inflation)'!$E$18='CPI(Inflation)'!$C$33,'CPI(Inflation)'!$C42,IF('CPI(Inflation)'!$E$18='CPI(Inflation)'!$D$33,'CPI(Inflation)'!$D42,IF('CPI(Inflation)'!$E$18='CPI(Inflation)'!$E$33,'CPI(Inflation)'!$E42,1))))</f>
        <v>3</v>
      </c>
      <c r="AF79" s="73">
        <f t="shared" si="13"/>
        <v>3.4</v>
      </c>
      <c r="AG79" s="87">
        <f>IF(PMI!$F$21=PMI!$B$43,PMI!$B52,IF(PMI!$F$21=PMI!$C$43,PMI!$C52,IF(PMI!$F$21=PMI!$D$43,PMI!$D52,IF(PMI!$F$21=PMI!$E$43,PMI!$E52,1))))</f>
        <v>3</v>
      </c>
      <c r="AH79" s="44">
        <f>BNP!I127</f>
        <v>1</v>
      </c>
      <c r="AI79" s="44">
        <f>IF('10 yr rate'!$E$20='10 yr rate'!$B$35,'10 yr rate'!$B44,IF('10 yr rate'!$E$20='10 yr rate'!$C$35,'10 yr rate'!$C44,IF('10 yr rate'!$E$20='10 yr rate'!$D$35,'10 yr rate'!$D44,IF('10 yr rate'!$E$20='10 yr rate'!$E$35,'10 yr rate'!$E44,1))))</f>
        <v>3</v>
      </c>
      <c r="AJ79" s="44">
        <f>IF('CPI(Inflation)'!$E$18='CPI(Inflation)'!$B$33,'CPI(Inflation)'!$B42,IF('CPI(Inflation)'!$E$18='CPI(Inflation)'!$C$33,'CPI(Inflation)'!$C42,IF('CPI(Inflation)'!$E$18='CPI(Inflation)'!$D$33,'CPI(Inflation)'!$D42,IF('CPI(Inflation)'!$E$18='CPI(Inflation)'!$E$33,'CPI(Inflation)'!$E42,1))))</f>
        <v>3</v>
      </c>
      <c r="AK79" s="44">
        <f>'Baltic Dry Index'!B42</f>
        <v>2</v>
      </c>
      <c r="AL79" s="44">
        <f>IF(VIX!$F$5=VIX!$B$33,VIX!B42,IF(VIX!$F$5=VIX!$C$33,VIX!C42,IF(VIX!$F$5=VIX!$D$33,VIX!D42,IF(VIX!$F$5=VIX!$E$33,VIX!E42,1))))</f>
        <v>2</v>
      </c>
      <c r="AM79" s="44">
        <f>IF(Currency!$F$5=Currency!$B$33,Currency!B42,IF(Currency!$F$5=Currency!$C$33,Currency!C42,IF(Currency!$F$5=Currency!$D$33,Currency!D42,IF(Currency!$F$5=Currency!$E$33,Currency!E42,1))))</f>
        <v>5</v>
      </c>
      <c r="AN79" s="44">
        <f>IF(Unemployment!$F$5=Unemployment!$B$33,Unemployment!B42,IF(Unemployment!$F$5=Unemployment!$C$33,Unemployment!C42,IF(Unemployment!$F$5=Unemployment!$D$33,Unemployment!D42,IF(Unemployment!$F$5=Unemployment!$E$33,Unemployment!E42,1))))</f>
        <v>5</v>
      </c>
      <c r="AO79" s="90">
        <f t="shared" si="14"/>
        <v>2.8336999999999999</v>
      </c>
      <c r="AP79" s="87">
        <f>IF(PMI!$F$22=PMI!$B$43,PMI!$B52,IF(PMI!$F$22=PMI!$C$43,PMI!$C52,IF(PMI!$F$22=PMI!$D$44,PMI!$D52,IF(PMI!$F$22=PMI!$E$43,PMI!$E52,1))))</f>
        <v>3</v>
      </c>
      <c r="AQ79" s="44">
        <f>BNP!J127</f>
        <v>3</v>
      </c>
      <c r="AR79" s="44">
        <f>IF('10 yr rate'!$E$21='10 yr rate'!$B$35,'10 yr rate'!$B44,IF('10 yr rate'!$E$21='10 yr rate'!$C$35,'10 yr rate'!$C44,IF('10 yr rate'!$E$21='10 yr rate'!$D$35,'10 yr rate'!$D44,IF('10 yr rate'!$E$21='10 yr rate'!$E$35,'10 yr rate'!$E44,1))))</f>
        <v>3</v>
      </c>
      <c r="AS79" s="44">
        <f>IF('CPI(Inflation)'!$E$19='CPI(Inflation)'!$B$33,'CPI(Inflation)'!$B42,IF('CPI(Inflation)'!$E$19='CPI(Inflation)'!$C$33,'CPI(Inflation)'!$C42,IF('CPI(Inflation)'!$E$19='CPI(Inflation)'!$D$33,'CPI(Inflation)'!$D42,IF('CPI(Inflation)'!$E$19='CPI(Inflation)'!$E$33,'CPI(Inflation)'!$E42,1))))</f>
        <v>2</v>
      </c>
      <c r="AT79" s="44">
        <f>'Baltic Dry Index'!B42</f>
        <v>2</v>
      </c>
      <c r="AU79" s="44">
        <f>IF(VIX!$F$6=VIX!$B$33,VIX!B42,IF(VIX!$F$6=VIX!$C$33,VIX!C42,IF(VIX!$F$6=VIX!$D$33,VIX!D42,IF(VIX!$F$6=VIX!$E$33,VIX!E42,1))))</f>
        <v>1</v>
      </c>
      <c r="AV79" s="44">
        <f>IF(Currency!$F$6=Currency!$B$33,Currency!B42,IF(Currency!$F$6=Currency!$C$33,Currency!C42,IF(Currency!$F$6=Currency!$D$33,Currency!D42,IF(Currency!$F$6=Currency!$E$33,Currency!E42,1))))</f>
        <v>3</v>
      </c>
      <c r="AW79" s="44">
        <f>IF(Unemployment!$F$6=Unemployment!$B$33,Unemployment!B42,IF(Unemployment!$F$6=Unemployment!$C$33,Unemployment!C42,IF(Unemployment!$F$6=Unemployment!$D$33,Unemployment!D42,IF(Unemployment!$F$6=Unemployment!$E$33,Unemployment!E42,1))))</f>
        <v>5</v>
      </c>
      <c r="AX79" s="90">
        <f t="shared" si="15"/>
        <v>2.9167999999999998</v>
      </c>
    </row>
    <row r="80" spans="2:89" x14ac:dyDescent="0.3">
      <c r="B80" s="53" t="s">
        <v>18</v>
      </c>
      <c r="C80" s="51">
        <f>IF(PMI!$F$15=PMI!$B$43,PMI!$B53,IF(PMI!$F$15=PMI!$C$43,PMI!$C53,IF(PMI!$F$15=PMI!$D$44,PMI!$D77,IF(PMI!$F$15=PMI!$E$43,PMI!$E53,1))))</f>
        <v>3</v>
      </c>
      <c r="D80" s="44">
        <f>BNP!C132</f>
        <v>3</v>
      </c>
      <c r="E80" s="44">
        <f>IF('10 yr rate'!$E$14='10 yr rate'!$B$35,'10 yr rate'!$B45,IF('10 yr rate'!$E$14='10 yr rate'!$C$35,'10 yr rate'!$C45,IF('10 yr rate'!$E$14='10 yr rate'!$D$35,'10 yr rate'!$D45,IF('10 yr rate'!$E$14='10 yr rate'!$E$36,'10 yr rate'!$E45,1))))</f>
        <v>3</v>
      </c>
      <c r="F80" s="44">
        <f>IF('CPI(Inflation)'!$E$13='CPI(Inflation)'!$B$33,'CPI(Inflation)'!$B43,IF('CPI(Inflation)'!$E$13='CPI(Inflation)'!$C$33,'CPI(Inflation)'!$C43,IF('CPI(Inflation)'!$E$13='CPI(Inflation)'!$D$33,'CPI(Inflation)'!$D43,IF('CPI(Inflation)'!$E$13='CPI(Inflation)'!$E$33,'CPI(Inflation)'!$E43,1))))</f>
        <v>4</v>
      </c>
      <c r="G80" s="73">
        <f t="shared" si="8"/>
        <v>3.3</v>
      </c>
      <c r="H80" s="51">
        <f>IF(PMI!$F$16=PMI!$B$43,PMI!$B53,IF(PMI!$F$16=PMI!$C$43,PMI!$C53,IF(PMI!$F$16=PMI!$D$44,PMI!$D77,IF(PMI!$F$16=PMI!$E$43,PMI!$E53,1))))</f>
        <v>3</v>
      </c>
      <c r="I80" s="44">
        <f>BNP!D132</f>
        <v>3</v>
      </c>
      <c r="J80" s="44">
        <f>IF('10 yr rate'!$E$15='10 yr rate'!$B$35,'10 yr rate'!$B45,IF('10 yr rate'!$E$15='10 yr rate'!$C$35,'10 yr rate'!$C45,IF('10 yr rate'!$E$15='10 yr rate'!$D$35,'10 yr rate'!$D45,IF('10 yr rate'!$E$15='10 yr rate'!$E$36,'10 yr rate'!$E45,1))))</f>
        <v>3</v>
      </c>
      <c r="K80" s="44">
        <f>IF('CPI(Inflation)'!$E$14='CPI(Inflation)'!$B$33,'CPI(Inflation)'!$B43,IF('CPI(Inflation)'!$E$14='CPI(Inflation)'!$C$33,'CPI(Inflation)'!$C43,IF('CPI(Inflation)'!$E$14='CPI(Inflation)'!$D$33,'CPI(Inflation)'!$D43,IF('CPI(Inflation)'!$E$14='CPI(Inflation)'!$E$33,'CPI(Inflation)'!$E43,1))))</f>
        <v>4</v>
      </c>
      <c r="L80" s="73">
        <f t="shared" si="9"/>
        <v>3.3</v>
      </c>
      <c r="M80" s="51">
        <f>IF(PMI!$F$17=PMI!$B$43,PMI!$B53,IF(PMI!$F$17=PMI!$C$43,PMI!$C53,IF(PMI!$F$17=PMI!$D$44,PMI!$D53,IF(PMI!$F$17=PMI!$E$43,PMI!$E53,1))))</f>
        <v>3</v>
      </c>
      <c r="N80" s="44">
        <f>BNP!E132</f>
        <v>3</v>
      </c>
      <c r="O80" s="44">
        <f>IF('10 yr rate'!$E$16='10 yr rate'!$B$35,'10 yr rate'!$B45,IF('10 yr rate'!$E$16='10 yr rate'!$C$35,'10 yr rate'!$C45,IF('10 yr rate'!$E$16='10 yr rate'!$D$35,'10 yr rate'!$D45,IF('10 yr rate'!$E$16='10 yr rate'!$E$36,'10 yr rate'!$E45,1))))</f>
        <v>3</v>
      </c>
      <c r="P80" s="44">
        <f>IF('CPI(Inflation)'!$E$15='CPI(Inflation)'!$B$33,'CPI(Inflation)'!$B43,IF('CPI(Inflation)'!$E$15='CPI(Inflation)'!$C$33,'CPI(Inflation)'!$C43,IF('CPI(Inflation)'!$E$15='CPI(Inflation)'!$D$33,'CPI(Inflation)'!$D43,IF('CPI(Inflation)'!$E$15='CPI(Inflation)'!$E$33,'CPI(Inflation)'!$E43,1))))</f>
        <v>4</v>
      </c>
      <c r="Q80" s="73">
        <f t="shared" si="10"/>
        <v>3.3</v>
      </c>
      <c r="R80" s="51">
        <f>IF(PMI!$F$17=PMI!$B$43,PMI!$B53,IF(PMI!$F$17=PMI!$C$43,PMI!$C53,IF(PMI!$F$17=PMI!$D$44,PMI!$D77,IF(PMI!$F$17=PMI!$E$43,PMI!$E53,1))))</f>
        <v>3</v>
      </c>
      <c r="S80" s="44">
        <f>BNP!F132</f>
        <v>3</v>
      </c>
      <c r="T80" s="44">
        <f>IF('10 yr rate'!$E$17='10 yr rate'!$B$35,'10 yr rate'!$B45,IF('10 yr rate'!$E$17='10 yr rate'!$C$35,'10 yr rate'!$C45,IF('10 yr rate'!$E$17='10 yr rate'!$D$35,'10 yr rate'!$D45,IF('10 yr rate'!$E$17='10 yr rate'!$E$36,'10 yr rate'!$E45,1))))</f>
        <v>3</v>
      </c>
      <c r="U80" s="44">
        <f>IF('CPI(Inflation)'!$E$16='CPI(Inflation)'!$B$33,'CPI(Inflation)'!$B43,IF('CPI(Inflation)'!$E$16='CPI(Inflation)'!$C$33,'CPI(Inflation)'!$C43,IF('CPI(Inflation)'!$E$16='CPI(Inflation)'!$D$33,'CPI(Inflation)'!$D43,IF('CPI(Inflation)'!$E$16='CPI(Inflation)'!$E$33,'CPI(Inflation)'!$E43,1))))</f>
        <v>4</v>
      </c>
      <c r="V80" s="73">
        <f t="shared" si="11"/>
        <v>3.3</v>
      </c>
      <c r="W80" s="51">
        <f>IF(PMI!$F$19=PMI!$B$43,PMI!$B53,IF(PMI!$F$19=PMI!$C$43,PMI!$C53,IF(PMI!$F$19=PMI!$D$44,PMI!$D53,IF(PMI!$F$19=PMI!$E$43,PMI!$E53,1))))</f>
        <v>4</v>
      </c>
      <c r="X80" s="44">
        <f>BNP!G132</f>
        <v>4</v>
      </c>
      <c r="Y80" s="44">
        <f>IF('10 yr rate'!$E$18='10 yr rate'!$B$35,'10 yr rate'!$B45,IF('10 yr rate'!$E$18='10 yr rate'!$C$35,'10 yr rate'!$C45,IF('10 yr rate'!$E$18='10 yr rate'!$D$35,'10 yr rate'!$D45,IF('10 yr rate'!$E$18='10 yr rate'!$E$36,'10 yr rate'!$E45,1))))</f>
        <v>4</v>
      </c>
      <c r="Z80" s="44">
        <f>IF('CPI(Inflation)'!$E$17='CPI(Inflation)'!$B$33,'CPI(Inflation)'!$B43,IF('CPI(Inflation)'!$E$17='CPI(Inflation)'!$C$33,'CPI(Inflation)'!$C43,IF('CPI(Inflation)'!$E$17='CPI(Inflation)'!$D$33,'CPI(Inflation)'!$D43,IF('CPI(Inflation)'!$E$17='CPI(Inflation)'!$E$33,'CPI(Inflation)'!$E43,1))))</f>
        <v>3</v>
      </c>
      <c r="AA80" s="73">
        <f t="shared" si="12"/>
        <v>3.6999999999999997</v>
      </c>
      <c r="AB80" s="51">
        <f>IF(PMI!$F$20=PMI!$B$43,PMI!$B53,IF(PMI!$F$20=PMI!$C$43,PMI!$C53,IF(PMI!$F$20=PMI!$D$44,PMI!$D53,IF(PMI!$F$20=PMI!$E$43,PMI!$E53,1))))</f>
        <v>4</v>
      </c>
      <c r="AC80" s="44">
        <f>BNP!H132</f>
        <v>3</v>
      </c>
      <c r="AD80" s="44">
        <f>IF('10 yr rate'!$E$19='10 yr rate'!$B$35,'10 yr rate'!$B45,IF('10 yr rate'!$E$19='10 yr rate'!$C$35,'10 yr rate'!$C45,IF('10 yr rate'!$E$19='10 yr rate'!$D$35,'10 yr rate'!$D45,IF('10 yr rate'!$E$19='10 yr rate'!$E$36,'10 yr rate'!$E45,1))))</f>
        <v>4</v>
      </c>
      <c r="AE80" s="44">
        <f>IF('CPI(Inflation)'!$E$18='CPI(Inflation)'!$B$33,'CPI(Inflation)'!$B43,IF('CPI(Inflation)'!$E$18='CPI(Inflation)'!$C$33,'CPI(Inflation)'!$C43,IF('CPI(Inflation)'!$E$18='CPI(Inflation)'!$D$33,'CPI(Inflation)'!$D43,IF('CPI(Inflation)'!$E$18='CPI(Inflation)'!$E$33,'CPI(Inflation)'!$E43,1))))</f>
        <v>4</v>
      </c>
      <c r="AF80" s="73">
        <f t="shared" si="13"/>
        <v>3.8</v>
      </c>
      <c r="AG80" s="87">
        <f>IF(PMI!$F$21=PMI!$B$43,PMI!$B53,IF(PMI!$F$21=PMI!$C$43,PMI!$C53,IF(PMI!$F$21=PMI!$D$43,PMI!$D53,IF(PMI!$F$21=PMI!$E$43,PMI!$E53,1))))</f>
        <v>4</v>
      </c>
      <c r="AH80" s="44">
        <f>BNP!I132</f>
        <v>3</v>
      </c>
      <c r="AI80" s="44">
        <f>IF('10 yr rate'!$E$20='10 yr rate'!$B$35,'10 yr rate'!$B45,IF('10 yr rate'!$E$20='10 yr rate'!$C$35,'10 yr rate'!$C45,IF('10 yr rate'!$E$20='10 yr rate'!$D$35,'10 yr rate'!$D45,IF('10 yr rate'!$E$20='10 yr rate'!$E$35,'10 yr rate'!$E45,1))))</f>
        <v>4</v>
      </c>
      <c r="AJ80" s="44">
        <f>IF('CPI(Inflation)'!$E$18='CPI(Inflation)'!$B$33,'CPI(Inflation)'!$B43,IF('CPI(Inflation)'!$E$18='CPI(Inflation)'!$C$33,'CPI(Inflation)'!$C43,IF('CPI(Inflation)'!$E$18='CPI(Inflation)'!$D$33,'CPI(Inflation)'!$D43,IF('CPI(Inflation)'!$E$18='CPI(Inflation)'!$E$33,'CPI(Inflation)'!$E43,1))))</f>
        <v>4</v>
      </c>
      <c r="AK80" s="44">
        <f>'Baltic Dry Index'!B43</f>
        <v>3</v>
      </c>
      <c r="AL80" s="44">
        <f>IF(VIX!$F$5=VIX!$B$33,VIX!B43,IF(VIX!$F$5=VIX!$C$33,VIX!C43,IF(VIX!$F$5=VIX!$D$33,VIX!D43,IF(VIX!$F$5=VIX!$E$33,VIX!E43,1))))</f>
        <v>3</v>
      </c>
      <c r="AM80" s="44">
        <f>IF(Currency!$F$5=Currency!$B$33,Currency!B43,IF(Currency!$F$5=Currency!$C$33,Currency!C43,IF(Currency!$F$5=Currency!$D$33,Currency!D43,IF(Currency!$F$5=Currency!$E$33,Currency!E43,1))))</f>
        <v>3</v>
      </c>
      <c r="AN80" s="44">
        <f>IF(Unemployment!$F$5=Unemployment!$B$33,Unemployment!B43,IF(Unemployment!$F$5=Unemployment!$C$33,Unemployment!C43,IF(Unemployment!$F$5=Unemployment!$D$33,Unemployment!D43,IF(Unemployment!$F$5=Unemployment!$E$33,Unemployment!E43,1))))</f>
        <v>3</v>
      </c>
      <c r="AO80" s="90">
        <f t="shared" si="14"/>
        <v>3.5280999999999993</v>
      </c>
      <c r="AP80" s="87">
        <f>IF(PMI!$F$22=PMI!$B$43,PMI!$B53,IF(PMI!$F$22=PMI!$C$43,PMI!$C53,IF(PMI!$F$22=PMI!$D$44,PMI!$D53,IF(PMI!$F$22=PMI!$E$43,PMI!$E53,1))))</f>
        <v>4</v>
      </c>
      <c r="AQ80" s="44">
        <f>BNP!J132</f>
        <v>4</v>
      </c>
      <c r="AR80" s="44">
        <f>IF('10 yr rate'!$E$21='10 yr rate'!$B$35,'10 yr rate'!$B45,IF('10 yr rate'!$E$21='10 yr rate'!$C$35,'10 yr rate'!$C45,IF('10 yr rate'!$E$21='10 yr rate'!$D$35,'10 yr rate'!$D45,IF('10 yr rate'!$E$21='10 yr rate'!$E$35,'10 yr rate'!$E45,1))))</f>
        <v>4</v>
      </c>
      <c r="AS80" s="44">
        <f>IF('CPI(Inflation)'!$E$19='CPI(Inflation)'!$B$33,'CPI(Inflation)'!$B43,IF('CPI(Inflation)'!$E$19='CPI(Inflation)'!$C$33,'CPI(Inflation)'!$C43,IF('CPI(Inflation)'!$E$19='CPI(Inflation)'!$D$33,'CPI(Inflation)'!$D43,IF('CPI(Inflation)'!$E$19='CPI(Inflation)'!$E$33,'CPI(Inflation)'!$E43,1))))</f>
        <v>3</v>
      </c>
      <c r="AT80" s="44">
        <f>'Baltic Dry Index'!B43</f>
        <v>3</v>
      </c>
      <c r="AU80" s="44">
        <f>IF(VIX!$F$6=VIX!$B$33,VIX!B43,IF(VIX!$F$6=VIX!$C$33,VIX!C43,IF(VIX!$F$6=VIX!$D$33,VIX!D43,IF(VIX!$F$6=VIX!$E$33,VIX!E43,1))))</f>
        <v>2</v>
      </c>
      <c r="AV80" s="44">
        <f>IF(Currency!$F$6=Currency!$B$33,Currency!B43,IF(Currency!$F$6=Currency!$C$33,Currency!C43,IF(Currency!$F$6=Currency!$D$33,Currency!D43,IF(Currency!$F$6=Currency!$E$33,Currency!E43,1))))</f>
        <v>4</v>
      </c>
      <c r="AW80" s="44">
        <f>IF(Unemployment!$F$6=Unemployment!$B$33,Unemployment!B43,IF(Unemployment!$F$6=Unemployment!$C$33,Unemployment!C43,IF(Unemployment!$F$6=Unemployment!$D$33,Unemployment!D43,IF(Unemployment!$F$6=Unemployment!$E$33,Unemployment!E43,1))))</f>
        <v>3</v>
      </c>
      <c r="AX80" s="90">
        <f t="shared" si="15"/>
        <v>3.5835999999999997</v>
      </c>
    </row>
    <row r="81" spans="2:89" x14ac:dyDescent="0.3">
      <c r="B81" s="54" t="s">
        <v>19</v>
      </c>
      <c r="C81" s="51">
        <f>IF(PMI!$F$15=PMI!$B$43,PMI!$B54,IF(PMI!$F$15=PMI!$C$43,PMI!$C54,IF(PMI!$F$15=PMI!$D$44,PMI!$D78,IF(PMI!$F$15=PMI!$E$43,PMI!$E54,1))))</f>
        <v>2</v>
      </c>
      <c r="D81" s="55">
        <f>BNP!C137</f>
        <v>4</v>
      </c>
      <c r="E81" s="44">
        <f>IF('10 yr rate'!$E$14='10 yr rate'!$B$35,'10 yr rate'!$B46,IF('10 yr rate'!$E$14='10 yr rate'!$C$35,'10 yr rate'!$C46,IF('10 yr rate'!$E$14='10 yr rate'!$D$35,'10 yr rate'!$D46,IF('10 yr rate'!$E$14='10 yr rate'!$E$36,'10 yr rate'!$E46,1))))</f>
        <v>2</v>
      </c>
      <c r="F81" s="44">
        <f>IF('CPI(Inflation)'!$E$13='CPI(Inflation)'!$B$33,'CPI(Inflation)'!$B44,IF('CPI(Inflation)'!$E$13='CPI(Inflation)'!$C$33,'CPI(Inflation)'!$C44,IF('CPI(Inflation)'!$E$13='CPI(Inflation)'!$D$33,'CPI(Inflation)'!$D44,IF('CPI(Inflation)'!$E$13='CPI(Inflation)'!$E$33,'CPI(Inflation)'!$E44,1))))</f>
        <v>2</v>
      </c>
      <c r="G81" s="74">
        <f t="shared" si="8"/>
        <v>2.4</v>
      </c>
      <c r="H81" s="51">
        <f>IF(PMI!$F$16=PMI!$B$43,PMI!$B54,IF(PMI!$F$16=PMI!$C$43,PMI!$C54,IF(PMI!$F$16=PMI!$D$44,PMI!$D78,IF(PMI!$F$16=PMI!$E$43,PMI!$E54,1))))</f>
        <v>2</v>
      </c>
      <c r="I81" s="55">
        <f>BNP!D137</f>
        <v>1</v>
      </c>
      <c r="J81" s="44">
        <f>IF('10 yr rate'!$E$15='10 yr rate'!$B$35,'10 yr rate'!$B46,IF('10 yr rate'!$E$15='10 yr rate'!$C$35,'10 yr rate'!$C46,IF('10 yr rate'!$E$15='10 yr rate'!$D$35,'10 yr rate'!$D46,IF('10 yr rate'!$E$15='10 yr rate'!$E$36,'10 yr rate'!$E46,1))))</f>
        <v>2</v>
      </c>
      <c r="K81" s="44">
        <f>IF('CPI(Inflation)'!$E$14='CPI(Inflation)'!$B$33,'CPI(Inflation)'!$B44,IF('CPI(Inflation)'!$E$14='CPI(Inflation)'!$C$33,'CPI(Inflation)'!$C44,IF('CPI(Inflation)'!$E$14='CPI(Inflation)'!$D$33,'CPI(Inflation)'!$D44,IF('CPI(Inflation)'!$E$14='CPI(Inflation)'!$E$33,'CPI(Inflation)'!$E44,1))))</f>
        <v>2</v>
      </c>
      <c r="L81" s="74">
        <f t="shared" si="9"/>
        <v>1.8000000000000003</v>
      </c>
      <c r="M81" s="51">
        <f>IF(PMI!$F$17=PMI!$B$43,PMI!$B54,IF(PMI!$F$17=PMI!$C$43,PMI!$C54,IF(PMI!$F$17=PMI!$D$44,PMI!$D54,IF(PMI!$F$17=PMI!$E$43,PMI!$E54,1))))</f>
        <v>2</v>
      </c>
      <c r="N81" s="55">
        <f>BNP!E137</f>
        <v>1</v>
      </c>
      <c r="O81" s="44">
        <f>IF('10 yr rate'!$E$16='10 yr rate'!$B$35,'10 yr rate'!$B46,IF('10 yr rate'!$E$16='10 yr rate'!$C$35,'10 yr rate'!$C46,IF('10 yr rate'!$E$16='10 yr rate'!$D$35,'10 yr rate'!$D46,IF('10 yr rate'!$E$16='10 yr rate'!$E$36,'10 yr rate'!$E46,1))))</f>
        <v>2</v>
      </c>
      <c r="P81" s="44">
        <f>IF('CPI(Inflation)'!$E$15='CPI(Inflation)'!$B$33,'CPI(Inflation)'!$B44,IF('CPI(Inflation)'!$E$15='CPI(Inflation)'!$C$33,'CPI(Inflation)'!$C44,IF('CPI(Inflation)'!$E$15='CPI(Inflation)'!$D$33,'CPI(Inflation)'!$D44,IF('CPI(Inflation)'!$E$15='CPI(Inflation)'!$E$33,'CPI(Inflation)'!$E44,1))))</f>
        <v>2</v>
      </c>
      <c r="Q81" s="74">
        <f t="shared" si="10"/>
        <v>1.8000000000000003</v>
      </c>
      <c r="R81" s="51">
        <f>IF(PMI!$F$17=PMI!$B$43,PMI!$B54,IF(PMI!$F$17=PMI!$C$43,PMI!$C54,IF(PMI!$F$17=PMI!$D$44,PMI!$D78,IF(PMI!$F$17=PMI!$E$43,PMI!$E54,1))))</f>
        <v>2</v>
      </c>
      <c r="S81" s="55">
        <f>BNP!F137</f>
        <v>1</v>
      </c>
      <c r="T81" s="44">
        <f>IF('10 yr rate'!$E$17='10 yr rate'!$B$35,'10 yr rate'!$B46,IF('10 yr rate'!$E$17='10 yr rate'!$C$35,'10 yr rate'!$C46,IF('10 yr rate'!$E$17='10 yr rate'!$D$35,'10 yr rate'!$D46,IF('10 yr rate'!$E$17='10 yr rate'!$E$36,'10 yr rate'!$E46,1))))</f>
        <v>2</v>
      </c>
      <c r="U81" s="44">
        <f>IF('CPI(Inflation)'!$E$16='CPI(Inflation)'!$B$33,'CPI(Inflation)'!$B44,IF('CPI(Inflation)'!$E$16='CPI(Inflation)'!$C$33,'CPI(Inflation)'!$C44,IF('CPI(Inflation)'!$E$16='CPI(Inflation)'!$D$33,'CPI(Inflation)'!$D44,IF('CPI(Inflation)'!$E$16='CPI(Inflation)'!$E$33,'CPI(Inflation)'!$E44,1))))</f>
        <v>2</v>
      </c>
      <c r="V81" s="74">
        <f t="shared" si="11"/>
        <v>1.8000000000000003</v>
      </c>
      <c r="W81" s="51">
        <f>IF(PMI!$F$19=PMI!$B$43,PMI!$B54,IF(PMI!$F$19=PMI!$C$43,PMI!$C54,IF(PMI!$F$19=PMI!$D$44,PMI!$D54,IF(PMI!$F$19=PMI!$E$43,PMI!$E54,1))))</f>
        <v>2</v>
      </c>
      <c r="X81" s="55">
        <f>BNP!G137</f>
        <v>2</v>
      </c>
      <c r="Y81" s="44">
        <f>IF('10 yr rate'!$E$18='10 yr rate'!$B$35,'10 yr rate'!$B46,IF('10 yr rate'!$E$18='10 yr rate'!$C$35,'10 yr rate'!$C46,IF('10 yr rate'!$E$18='10 yr rate'!$D$35,'10 yr rate'!$D46,IF('10 yr rate'!$E$18='10 yr rate'!$E$36,'10 yr rate'!$E46,1))))</f>
        <v>2</v>
      </c>
      <c r="Z81" s="44">
        <f>IF('CPI(Inflation)'!$E$17='CPI(Inflation)'!$B$33,'CPI(Inflation)'!$B44,IF('CPI(Inflation)'!$E$17='CPI(Inflation)'!$C$33,'CPI(Inflation)'!$C44,IF('CPI(Inflation)'!$E$17='CPI(Inflation)'!$D$33,'CPI(Inflation)'!$D44,IF('CPI(Inflation)'!$E$17='CPI(Inflation)'!$E$33,'CPI(Inflation)'!$E44,1))))</f>
        <v>2</v>
      </c>
      <c r="AA81" s="74">
        <f t="shared" si="12"/>
        <v>2</v>
      </c>
      <c r="AB81" s="51">
        <f>IF(PMI!$F$20=PMI!$B$43,PMI!$B54,IF(PMI!$F$20=PMI!$C$43,PMI!$C54,IF(PMI!$F$20=PMI!$D$44,PMI!$D54,IF(PMI!$F$20=PMI!$E$43,PMI!$E54,1))))</f>
        <v>2</v>
      </c>
      <c r="AC81" s="55">
        <f>BNP!H137</f>
        <v>4</v>
      </c>
      <c r="AD81" s="44">
        <f>IF('10 yr rate'!$E$19='10 yr rate'!$B$35,'10 yr rate'!$B46,IF('10 yr rate'!$E$19='10 yr rate'!$C$35,'10 yr rate'!$C46,IF('10 yr rate'!$E$19='10 yr rate'!$D$35,'10 yr rate'!$D46,IF('10 yr rate'!$E$19='10 yr rate'!$E$36,'10 yr rate'!$E46,1))))</f>
        <v>2</v>
      </c>
      <c r="AE81" s="44">
        <f>IF('CPI(Inflation)'!$E$18='CPI(Inflation)'!$B$33,'CPI(Inflation)'!$B44,IF('CPI(Inflation)'!$E$18='CPI(Inflation)'!$C$33,'CPI(Inflation)'!$C44,IF('CPI(Inflation)'!$E$18='CPI(Inflation)'!$D$33,'CPI(Inflation)'!$D44,IF('CPI(Inflation)'!$E$18='CPI(Inflation)'!$E$33,'CPI(Inflation)'!$E44,1))))</f>
        <v>2</v>
      </c>
      <c r="AF81" s="74">
        <f t="shared" si="13"/>
        <v>2.4</v>
      </c>
      <c r="AG81" s="88">
        <f>IF(PMI!$F$21=PMI!$B$43,PMI!$B54,IF(PMI!$F$21=PMI!$C$43,PMI!$C54,IF(PMI!$F$21=PMI!$D$43,PMI!$D54,IF(PMI!$F$21=PMI!$E$43,PMI!$E54,1))))</f>
        <v>2</v>
      </c>
      <c r="AH81" s="55">
        <f>BNP!I137</f>
        <v>1</v>
      </c>
      <c r="AI81" s="55">
        <f>IF('10 yr rate'!$E$20='10 yr rate'!$B$35,'10 yr rate'!$B46,IF('10 yr rate'!$E$20='10 yr rate'!$C$35,'10 yr rate'!$C46,IF('10 yr rate'!$E$20='10 yr rate'!$D$35,'10 yr rate'!$D46,IF('10 yr rate'!$E$20='10 yr rate'!$E$35,'10 yr rate'!$E46,1))))</f>
        <v>2</v>
      </c>
      <c r="AJ81" s="55">
        <f>IF('CPI(Inflation)'!$E$18='CPI(Inflation)'!$B$33,'CPI(Inflation)'!$B44,IF('CPI(Inflation)'!$E$18='CPI(Inflation)'!$C$33,'CPI(Inflation)'!$C44,IF('CPI(Inflation)'!$E$18='CPI(Inflation)'!$D$33,'CPI(Inflation)'!$D44,IF('CPI(Inflation)'!$E$18='CPI(Inflation)'!$E$33,'CPI(Inflation)'!$E44,1))))</f>
        <v>2</v>
      </c>
      <c r="AK81" s="55">
        <f>'Baltic Dry Index'!B44</f>
        <v>2</v>
      </c>
      <c r="AL81" s="55">
        <f>IF(VIX!$F$5=VIX!$B$33,VIX!B44,IF(VIX!$F$5=VIX!$C$33,VIX!C44,IF(VIX!$F$5=VIX!$D$33,VIX!D44,IF(VIX!$F$5=VIX!$E$33,VIX!E44,1))))</f>
        <v>2</v>
      </c>
      <c r="AM81" s="55">
        <f>IF(Currency!$F$5=Currency!$B$33,Currency!B44,IF(Currency!$F$5=Currency!$C$33,Currency!C44,IF(Currency!$F$5=Currency!$D$33,Currency!D44,IF(Currency!$F$5=Currency!$E$33,Currency!E44,1))))</f>
        <v>4</v>
      </c>
      <c r="AN81" s="55">
        <f>IF(Unemployment!$F$5=Unemployment!$B$33,Unemployment!B44,IF(Unemployment!$F$5=Unemployment!$C$33,Unemployment!C44,IF(Unemployment!$F$5=Unemployment!$D$33,Unemployment!D44,IF(Unemployment!$F$5=Unemployment!$E$33,Unemployment!E44,1))))</f>
        <v>4</v>
      </c>
      <c r="AO81" s="91">
        <f t="shared" si="14"/>
        <v>2.1391999999999998</v>
      </c>
      <c r="AP81" s="88">
        <f>IF(PMI!$F$22=PMI!$B$43,PMI!$B54,IF(PMI!$F$22=PMI!$C$43,PMI!$C54,IF(PMI!$F$22=PMI!$D$44,PMI!$D54,IF(PMI!$F$22=PMI!$E$43,PMI!$E54,1))))</f>
        <v>2</v>
      </c>
      <c r="AQ81" s="55">
        <f>BNP!J137</f>
        <v>2</v>
      </c>
      <c r="AR81" s="55">
        <f>IF('10 yr rate'!$E$21='10 yr rate'!$B$35,'10 yr rate'!$B46,IF('10 yr rate'!$E$21='10 yr rate'!$C$35,'10 yr rate'!$C46,IF('10 yr rate'!$E$21='10 yr rate'!$D$35,'10 yr rate'!$D46,IF('10 yr rate'!$E$21='10 yr rate'!$E$35,'10 yr rate'!$E46,1))))</f>
        <v>2</v>
      </c>
      <c r="AS81" s="55">
        <f>IF('CPI(Inflation)'!$E$19='CPI(Inflation)'!$B$33,'CPI(Inflation)'!$B44,IF('CPI(Inflation)'!$E$19='CPI(Inflation)'!$C$33,'CPI(Inflation)'!$C44,IF('CPI(Inflation)'!$E$19='CPI(Inflation)'!$D$33,'CPI(Inflation)'!$D44,IF('CPI(Inflation)'!$E$19='CPI(Inflation)'!$E$33,'CPI(Inflation)'!$E44,1))))</f>
        <v>2</v>
      </c>
      <c r="AT81" s="55">
        <f>'Baltic Dry Index'!B44</f>
        <v>2</v>
      </c>
      <c r="AU81" s="55">
        <f>IF(VIX!$F$6=VIX!$B$33,VIX!B44,IF(VIX!$F$6=VIX!$C$33,VIX!C44,IF(VIX!$F$6=VIX!$D$33,VIX!D44,IF(VIX!$F$6=VIX!$E$33,VIX!E44,1))))</f>
        <v>5</v>
      </c>
      <c r="AV81" s="55">
        <f>IF(Currency!$F$6=Currency!$B$33,Currency!B44,IF(Currency!$F$6=Currency!$C$33,Currency!C44,IF(Currency!$F$6=Currency!$D$33,Currency!D44,IF(Currency!$F$6=Currency!$E$33,Currency!E44,1))))</f>
        <v>2</v>
      </c>
      <c r="AW81" s="55">
        <f>IF(Unemployment!$F$6=Unemployment!$B$33,Unemployment!B44,IF(Unemployment!$F$6=Unemployment!$C$33,Unemployment!C44,IF(Unemployment!$F$6=Unemployment!$D$33,Unemployment!D44,IF(Unemployment!$F$6=Unemployment!$E$33,Unemployment!E44,1))))</f>
        <v>4</v>
      </c>
      <c r="AX81" s="91">
        <f t="shared" si="15"/>
        <v>2.3891999999999998</v>
      </c>
    </row>
    <row r="82" spans="2:89" ht="15" customHeight="1" thickBot="1" x14ac:dyDescent="0.35"/>
    <row r="83" spans="2:89" x14ac:dyDescent="0.3">
      <c r="B83" s="58"/>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60"/>
      <c r="BL83" s="58"/>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60"/>
    </row>
    <row r="84" spans="2:89" x14ac:dyDescent="0.3">
      <c r="B84" s="61"/>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62"/>
      <c r="AG84" s="62"/>
      <c r="AH84" s="62"/>
      <c r="AI84" s="62"/>
      <c r="AJ84" s="62"/>
      <c r="AK84" s="62"/>
      <c r="AL84" s="62"/>
      <c r="AM84" s="62"/>
      <c r="AN84" s="62"/>
      <c r="AO84" s="62"/>
      <c r="AP84" s="62"/>
      <c r="AQ84" s="62"/>
      <c r="AR84" s="62"/>
      <c r="AS84" s="62"/>
      <c r="AT84" s="62"/>
      <c r="AU84" s="62"/>
      <c r="AV84" s="62"/>
      <c r="AW84" s="62"/>
      <c r="AX84" s="62"/>
      <c r="AY84" s="62"/>
      <c r="AZ84" s="62"/>
      <c r="BA84" s="62"/>
      <c r="BB84" s="62"/>
      <c r="BC84" s="62"/>
      <c r="BD84" s="62"/>
      <c r="BE84" s="62"/>
      <c r="BF84" s="62"/>
      <c r="BG84" s="62"/>
      <c r="BH84" s="62"/>
      <c r="BI84" s="62"/>
      <c r="BJ84" s="63"/>
      <c r="BL84" s="61"/>
      <c r="BM84" s="62"/>
      <c r="BN84" s="62"/>
      <c r="BO84" s="62"/>
      <c r="BP84" s="62"/>
      <c r="BQ84" s="62"/>
      <c r="BR84" s="62"/>
      <c r="BS84" s="62"/>
      <c r="BT84" s="62"/>
      <c r="BU84" s="62"/>
      <c r="BV84" s="62"/>
      <c r="BW84" s="62"/>
      <c r="BX84" s="62"/>
      <c r="BY84" s="62"/>
      <c r="BZ84" s="62"/>
      <c r="CA84" s="62"/>
      <c r="CB84" s="62"/>
      <c r="CC84" s="62"/>
      <c r="CD84" s="62"/>
      <c r="CE84" s="62"/>
      <c r="CF84" s="62"/>
      <c r="CG84" s="62"/>
      <c r="CH84" s="62"/>
      <c r="CI84" s="62"/>
      <c r="CJ84" s="62"/>
      <c r="CK84" s="63"/>
    </row>
    <row r="85" spans="2:89" x14ac:dyDescent="0.3">
      <c r="B85" s="61"/>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3"/>
      <c r="BL85" s="61"/>
      <c r="BM85" s="62"/>
      <c r="BN85" s="62"/>
      <c r="BO85" s="62"/>
      <c r="BP85" s="62"/>
      <c r="BQ85" s="62"/>
      <c r="BR85" s="62"/>
      <c r="BS85" s="62"/>
      <c r="BT85" s="62"/>
      <c r="BU85" s="62"/>
      <c r="BV85" s="62"/>
      <c r="BW85" s="62"/>
      <c r="BX85" s="62"/>
      <c r="BY85" s="62"/>
      <c r="BZ85" s="62"/>
      <c r="CA85" s="62"/>
      <c r="CB85" s="62"/>
      <c r="CC85" s="62"/>
      <c r="CD85" s="62"/>
      <c r="CE85" s="62"/>
      <c r="CF85" s="62"/>
      <c r="CG85" s="62"/>
      <c r="CH85" s="62"/>
      <c r="CI85" s="62"/>
      <c r="CJ85" s="62"/>
      <c r="CK85" s="63"/>
    </row>
    <row r="86" spans="2:89" x14ac:dyDescent="0.3">
      <c r="B86" s="61"/>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62"/>
      <c r="AG86" s="62"/>
      <c r="AH86" s="62"/>
      <c r="AI86" s="62"/>
      <c r="AJ86" s="62"/>
      <c r="AK86" s="62"/>
      <c r="AL86" s="62"/>
      <c r="AM86" s="62"/>
      <c r="AN86" s="62"/>
      <c r="AO86" s="62"/>
      <c r="AP86" s="62"/>
      <c r="AQ86" s="62"/>
      <c r="AR86" s="62"/>
      <c r="AS86" s="62"/>
      <c r="AT86" s="62"/>
      <c r="AU86" s="62"/>
      <c r="AV86" s="62"/>
      <c r="AW86" s="62"/>
      <c r="AX86" s="62"/>
      <c r="AY86" s="62"/>
      <c r="AZ86" s="62"/>
      <c r="BA86" s="62"/>
      <c r="BB86" s="62"/>
      <c r="BC86" s="62"/>
      <c r="BD86" s="62"/>
      <c r="BE86" s="62"/>
      <c r="BF86" s="62"/>
      <c r="BG86" s="62"/>
      <c r="BH86" s="62"/>
      <c r="BI86" s="62"/>
      <c r="BJ86" s="63"/>
      <c r="BL86" s="61"/>
      <c r="BM86" s="62"/>
      <c r="BN86" s="62"/>
      <c r="BO86" s="62"/>
      <c r="BP86" s="62"/>
      <c r="BQ86" s="62"/>
      <c r="BR86" s="62"/>
      <c r="BS86" s="62"/>
      <c r="BT86" s="62"/>
      <c r="BU86" s="62"/>
      <c r="BV86" s="62"/>
      <c r="BW86" s="62"/>
      <c r="BX86" s="62"/>
      <c r="BY86" s="62"/>
      <c r="BZ86" s="62"/>
      <c r="CA86" s="62"/>
      <c r="CB86" s="62"/>
      <c r="CC86" s="62"/>
      <c r="CD86" s="62"/>
      <c r="CE86" s="62"/>
      <c r="CF86" s="62"/>
      <c r="CG86" s="62"/>
      <c r="CH86" s="62"/>
      <c r="CI86" s="62"/>
      <c r="CJ86" s="62"/>
      <c r="CK86" s="63"/>
    </row>
    <row r="87" spans="2:89" x14ac:dyDescent="0.3">
      <c r="B87" s="61"/>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62"/>
      <c r="AG87" s="62"/>
      <c r="AH87" s="62"/>
      <c r="AI87" s="62"/>
      <c r="AJ87" s="62"/>
      <c r="AK87" s="62"/>
      <c r="AL87" s="62"/>
      <c r="AM87" s="62"/>
      <c r="AN87" s="62"/>
      <c r="AO87" s="62"/>
      <c r="AP87" s="62"/>
      <c r="AQ87" s="62"/>
      <c r="AR87" s="62"/>
      <c r="AS87" s="62"/>
      <c r="AT87" s="62"/>
      <c r="AU87" s="62"/>
      <c r="AV87" s="62"/>
      <c r="AW87" s="62"/>
      <c r="AX87" s="62"/>
      <c r="AY87" s="62"/>
      <c r="AZ87" s="62"/>
      <c r="BA87" s="62"/>
      <c r="BB87" s="62"/>
      <c r="BC87" s="62"/>
      <c r="BD87" s="62"/>
      <c r="BE87" s="62"/>
      <c r="BF87" s="62"/>
      <c r="BG87" s="62"/>
      <c r="BH87" s="62"/>
      <c r="BI87" s="62"/>
      <c r="BJ87" s="63"/>
      <c r="BL87" s="61"/>
      <c r="BM87" s="62"/>
      <c r="BN87" s="62"/>
      <c r="BO87" s="62"/>
      <c r="BP87" s="62"/>
      <c r="BQ87" s="62"/>
      <c r="BR87" s="62"/>
      <c r="BS87" s="62"/>
      <c r="BT87" s="62"/>
      <c r="BU87" s="62"/>
      <c r="BV87" s="62"/>
      <c r="BW87" s="62"/>
      <c r="BX87" s="62"/>
      <c r="BY87" s="62"/>
      <c r="BZ87" s="62"/>
      <c r="CA87" s="62"/>
      <c r="CB87" s="62"/>
      <c r="CC87" s="62"/>
      <c r="CD87" s="62"/>
      <c r="CE87" s="62"/>
      <c r="CF87" s="62"/>
      <c r="CG87" s="62"/>
      <c r="CH87" s="62"/>
      <c r="CI87" s="62"/>
      <c r="CJ87" s="62"/>
      <c r="CK87" s="63"/>
    </row>
    <row r="88" spans="2:89" x14ac:dyDescent="0.3">
      <c r="B88" s="61"/>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62"/>
      <c r="AG88" s="62"/>
      <c r="AH88" s="62"/>
      <c r="AI88" s="62"/>
      <c r="AJ88" s="62"/>
      <c r="AK88" s="62"/>
      <c r="AL88" s="62"/>
      <c r="AM88" s="62"/>
      <c r="AN88" s="62"/>
      <c r="AO88" s="62"/>
      <c r="AP88" s="62"/>
      <c r="AQ88" s="62"/>
      <c r="AR88" s="62"/>
      <c r="AS88" s="62"/>
      <c r="AT88" s="62"/>
      <c r="AU88" s="62"/>
      <c r="AV88" s="62"/>
      <c r="AW88" s="62"/>
      <c r="AX88" s="62"/>
      <c r="AY88" s="62"/>
      <c r="AZ88" s="62"/>
      <c r="BA88" s="62"/>
      <c r="BB88" s="62"/>
      <c r="BC88" s="62"/>
      <c r="BD88" s="62"/>
      <c r="BE88" s="62"/>
      <c r="BF88" s="62"/>
      <c r="BG88" s="62"/>
      <c r="BH88" s="62"/>
      <c r="BI88" s="62"/>
      <c r="BJ88" s="63"/>
      <c r="BL88" s="61"/>
      <c r="BM88" s="62"/>
      <c r="BN88" s="62"/>
      <c r="BO88" s="62"/>
      <c r="BP88" s="62"/>
      <c r="BQ88" s="62"/>
      <c r="BR88" s="62"/>
      <c r="BS88" s="62"/>
      <c r="BT88" s="62"/>
      <c r="BU88" s="62"/>
      <c r="BV88" s="62"/>
      <c r="BW88" s="62"/>
      <c r="BX88" s="62"/>
      <c r="BY88" s="62"/>
      <c r="BZ88" s="62"/>
      <c r="CA88" s="62"/>
      <c r="CB88" s="62"/>
      <c r="CC88" s="62"/>
      <c r="CD88" s="62"/>
      <c r="CE88" s="62"/>
      <c r="CF88" s="62"/>
      <c r="CG88" s="62"/>
      <c r="CH88" s="62"/>
      <c r="CI88" s="62"/>
      <c r="CJ88" s="62"/>
      <c r="CK88" s="63"/>
    </row>
    <row r="89" spans="2:89" x14ac:dyDescent="0.3">
      <c r="B89" s="61"/>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62"/>
      <c r="AG89" s="62"/>
      <c r="AH89" s="62"/>
      <c r="AI89" s="62"/>
      <c r="AJ89" s="62"/>
      <c r="AK89" s="62"/>
      <c r="AL89" s="62"/>
      <c r="AM89" s="62"/>
      <c r="AN89" s="62"/>
      <c r="AO89" s="62"/>
      <c r="AP89" s="62"/>
      <c r="AQ89" s="62"/>
      <c r="AR89" s="62"/>
      <c r="AS89" s="62"/>
      <c r="AT89" s="62"/>
      <c r="AU89" s="62"/>
      <c r="AV89" s="62"/>
      <c r="AW89" s="62"/>
      <c r="AX89" s="62"/>
      <c r="AY89" s="62"/>
      <c r="AZ89" s="62"/>
      <c r="BA89" s="62"/>
      <c r="BB89" s="62"/>
      <c r="BC89" s="62"/>
      <c r="BD89" s="62"/>
      <c r="BE89" s="62"/>
      <c r="BF89" s="62"/>
      <c r="BG89" s="62"/>
      <c r="BH89" s="62"/>
      <c r="BI89" s="62"/>
      <c r="BJ89" s="63"/>
      <c r="BL89" s="61"/>
      <c r="BM89" s="62"/>
      <c r="BN89" s="62"/>
      <c r="BO89" s="62"/>
      <c r="BP89" s="62"/>
      <c r="BQ89" s="62"/>
      <c r="BR89" s="62"/>
      <c r="BS89" s="62"/>
      <c r="BT89" s="62"/>
      <c r="BU89" s="62"/>
      <c r="BV89" s="62"/>
      <c r="BW89" s="62"/>
      <c r="BX89" s="62"/>
      <c r="BY89" s="62"/>
      <c r="BZ89" s="62"/>
      <c r="CA89" s="62"/>
      <c r="CB89" s="62"/>
      <c r="CC89" s="62"/>
      <c r="CD89" s="62"/>
      <c r="CE89" s="62"/>
      <c r="CF89" s="62"/>
      <c r="CG89" s="62"/>
      <c r="CH89" s="62"/>
      <c r="CI89" s="62"/>
      <c r="CJ89" s="62"/>
      <c r="CK89" s="63"/>
    </row>
    <row r="90" spans="2:89" x14ac:dyDescent="0.3">
      <c r="B90" s="61"/>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3"/>
      <c r="BL90" s="61"/>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3"/>
    </row>
    <row r="91" spans="2:89" x14ac:dyDescent="0.3">
      <c r="B91" s="61"/>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3"/>
      <c r="BL91" s="61"/>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2"/>
      <c r="CK91" s="63"/>
    </row>
    <row r="92" spans="2:89" x14ac:dyDescent="0.3">
      <c r="B92" s="61"/>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3"/>
      <c r="BL92" s="61"/>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3"/>
    </row>
    <row r="93" spans="2:89" x14ac:dyDescent="0.3">
      <c r="B93" s="61"/>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3"/>
      <c r="BL93" s="61"/>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3"/>
    </row>
    <row r="94" spans="2:89" x14ac:dyDescent="0.3">
      <c r="B94" s="61"/>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62"/>
      <c r="AG94" s="62"/>
      <c r="AH94" s="62"/>
      <c r="AI94" s="62"/>
      <c r="AJ94" s="62"/>
      <c r="AK94" s="62"/>
      <c r="AL94" s="62"/>
      <c r="AM94" s="62"/>
      <c r="AN94" s="62"/>
      <c r="AO94" s="62"/>
      <c r="AP94" s="62"/>
      <c r="AQ94" s="62"/>
      <c r="AR94" s="62"/>
      <c r="AS94" s="62"/>
      <c r="AT94" s="62"/>
      <c r="AU94" s="62"/>
      <c r="AV94" s="62"/>
      <c r="AW94" s="62"/>
      <c r="AX94" s="62"/>
      <c r="AY94" s="62"/>
      <c r="AZ94" s="62"/>
      <c r="BA94" s="62"/>
      <c r="BB94" s="62"/>
      <c r="BC94" s="62"/>
      <c r="BD94" s="62"/>
      <c r="BE94" s="62"/>
      <c r="BF94" s="62"/>
      <c r="BG94" s="62"/>
      <c r="BH94" s="62"/>
      <c r="BI94" s="62"/>
      <c r="BJ94" s="63"/>
      <c r="BL94" s="61"/>
      <c r="BM94" s="62"/>
      <c r="BN94" s="62"/>
      <c r="BO94" s="62"/>
      <c r="BP94" s="62"/>
      <c r="BQ94" s="62"/>
      <c r="BR94" s="62"/>
      <c r="BS94" s="62"/>
      <c r="BT94" s="62"/>
      <c r="BU94" s="62"/>
      <c r="BV94" s="62"/>
      <c r="BW94" s="62"/>
      <c r="BX94" s="62"/>
      <c r="BY94" s="62"/>
      <c r="BZ94" s="62"/>
      <c r="CA94" s="62"/>
      <c r="CB94" s="62"/>
      <c r="CC94" s="62"/>
      <c r="CD94" s="62"/>
      <c r="CE94" s="62"/>
      <c r="CF94" s="62"/>
      <c r="CG94" s="62"/>
      <c r="CH94" s="62"/>
      <c r="CI94" s="62"/>
      <c r="CJ94" s="62"/>
      <c r="CK94" s="63"/>
    </row>
    <row r="95" spans="2:89" x14ac:dyDescent="0.3">
      <c r="B95" s="61"/>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62"/>
      <c r="AG95" s="62"/>
      <c r="AH95" s="62"/>
      <c r="AI95" s="62"/>
      <c r="AJ95" s="62"/>
      <c r="AK95" s="62"/>
      <c r="AL95" s="62"/>
      <c r="AM95" s="62"/>
      <c r="AN95" s="62"/>
      <c r="AO95" s="62"/>
      <c r="AP95" s="62"/>
      <c r="AQ95" s="62"/>
      <c r="AR95" s="62"/>
      <c r="AS95" s="62"/>
      <c r="AT95" s="62"/>
      <c r="AU95" s="62"/>
      <c r="AV95" s="62"/>
      <c r="AW95" s="62"/>
      <c r="AX95" s="62"/>
      <c r="AY95" s="62"/>
      <c r="AZ95" s="62"/>
      <c r="BA95" s="62"/>
      <c r="BB95" s="62"/>
      <c r="BC95" s="62"/>
      <c r="BD95" s="62"/>
      <c r="BE95" s="62"/>
      <c r="BF95" s="62"/>
      <c r="BG95" s="62"/>
      <c r="BH95" s="62"/>
      <c r="BI95" s="62"/>
      <c r="BJ95" s="63"/>
      <c r="BL95" s="61"/>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3"/>
    </row>
    <row r="96" spans="2:89" x14ac:dyDescent="0.3">
      <c r="B96" s="61"/>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62"/>
      <c r="BD96" s="62"/>
      <c r="BE96" s="62"/>
      <c r="BF96" s="62"/>
      <c r="BG96" s="62"/>
      <c r="BH96" s="62"/>
      <c r="BI96" s="62"/>
      <c r="BJ96" s="63"/>
      <c r="BL96" s="61"/>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3"/>
    </row>
    <row r="97" spans="2:89" x14ac:dyDescent="0.3">
      <c r="B97" s="61"/>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62"/>
      <c r="AG97" s="62"/>
      <c r="AH97" s="62"/>
      <c r="AI97" s="62"/>
      <c r="AJ97" s="62"/>
      <c r="AK97" s="62"/>
      <c r="AL97" s="62"/>
      <c r="AM97" s="62"/>
      <c r="AN97" s="62"/>
      <c r="AO97" s="62"/>
      <c r="AP97" s="62"/>
      <c r="AQ97" s="62"/>
      <c r="AR97" s="62"/>
      <c r="AS97" s="62"/>
      <c r="AT97" s="62"/>
      <c r="AU97" s="62"/>
      <c r="AV97" s="62"/>
      <c r="AW97" s="62"/>
      <c r="AX97" s="62"/>
      <c r="AY97" s="62"/>
      <c r="AZ97" s="62"/>
      <c r="BA97" s="62"/>
      <c r="BB97" s="62"/>
      <c r="BC97" s="62"/>
      <c r="BD97" s="62"/>
      <c r="BE97" s="62"/>
      <c r="BF97" s="62"/>
      <c r="BG97" s="62"/>
      <c r="BH97" s="62"/>
      <c r="BI97" s="62"/>
      <c r="BJ97" s="63"/>
      <c r="BL97" s="61"/>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3"/>
    </row>
    <row r="98" spans="2:89" x14ac:dyDescent="0.3">
      <c r="B98" s="61"/>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62"/>
      <c r="AG98" s="62"/>
      <c r="AH98" s="62"/>
      <c r="AI98" s="62"/>
      <c r="AJ98" s="62"/>
      <c r="AK98" s="62"/>
      <c r="AL98" s="62"/>
      <c r="AM98" s="62"/>
      <c r="AN98" s="62"/>
      <c r="AO98" s="62"/>
      <c r="AP98" s="62"/>
      <c r="AQ98" s="62"/>
      <c r="AR98" s="62"/>
      <c r="AS98" s="62"/>
      <c r="AT98" s="62"/>
      <c r="AU98" s="62"/>
      <c r="AV98" s="62"/>
      <c r="AW98" s="62"/>
      <c r="AX98" s="62"/>
      <c r="AY98" s="62"/>
      <c r="AZ98" s="62"/>
      <c r="BA98" s="62"/>
      <c r="BB98" s="62"/>
      <c r="BC98" s="62"/>
      <c r="BD98" s="62"/>
      <c r="BE98" s="62"/>
      <c r="BF98" s="62"/>
      <c r="BG98" s="62"/>
      <c r="BH98" s="62"/>
      <c r="BI98" s="62"/>
      <c r="BJ98" s="63"/>
      <c r="BL98" s="61"/>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3"/>
    </row>
    <row r="99" spans="2:89" x14ac:dyDescent="0.3">
      <c r="B99" s="61"/>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62"/>
      <c r="AG99" s="62"/>
      <c r="AH99" s="62"/>
      <c r="AI99" s="62"/>
      <c r="AJ99" s="62"/>
      <c r="AK99" s="62"/>
      <c r="AL99" s="62"/>
      <c r="AM99" s="62"/>
      <c r="AN99" s="62"/>
      <c r="AO99" s="62"/>
      <c r="AP99" s="62"/>
      <c r="AQ99" s="62"/>
      <c r="AR99" s="62"/>
      <c r="AS99" s="62"/>
      <c r="AT99" s="62"/>
      <c r="AU99" s="62"/>
      <c r="AV99" s="62"/>
      <c r="AW99" s="62"/>
      <c r="AX99" s="62"/>
      <c r="AY99" s="62"/>
      <c r="AZ99" s="62"/>
      <c r="BA99" s="62"/>
      <c r="BB99" s="62"/>
      <c r="BC99" s="62"/>
      <c r="BD99" s="62"/>
      <c r="BE99" s="62"/>
      <c r="BF99" s="62"/>
      <c r="BG99" s="62"/>
      <c r="BH99" s="62"/>
      <c r="BI99" s="62"/>
      <c r="BJ99" s="63"/>
      <c r="BL99" s="61"/>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3"/>
    </row>
    <row r="100" spans="2:89" x14ac:dyDescent="0.3">
      <c r="B100" s="61"/>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62"/>
      <c r="AG100" s="62"/>
      <c r="AH100" s="62"/>
      <c r="AI100" s="62"/>
      <c r="AJ100" s="62"/>
      <c r="AK100" s="62"/>
      <c r="AL100" s="62"/>
      <c r="AM100" s="62"/>
      <c r="AN100" s="62"/>
      <c r="AO100" s="62"/>
      <c r="AP100" s="62"/>
      <c r="AQ100" s="62"/>
      <c r="AR100" s="62"/>
      <c r="AS100" s="62"/>
      <c r="AT100" s="62"/>
      <c r="AU100" s="62"/>
      <c r="AV100" s="62"/>
      <c r="AW100" s="62"/>
      <c r="AX100" s="62"/>
      <c r="AY100" s="62"/>
      <c r="AZ100" s="62"/>
      <c r="BA100" s="62"/>
      <c r="BB100" s="62"/>
      <c r="BC100" s="62"/>
      <c r="BD100" s="62"/>
      <c r="BE100" s="62"/>
      <c r="BF100" s="62"/>
      <c r="BG100" s="62"/>
      <c r="BH100" s="62"/>
      <c r="BI100" s="62"/>
      <c r="BJ100" s="63"/>
      <c r="BL100" s="61"/>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3"/>
    </row>
    <row r="101" spans="2:89" x14ac:dyDescent="0.3">
      <c r="B101" s="61"/>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2"/>
      <c r="AT101" s="62"/>
      <c r="AU101" s="62"/>
      <c r="AV101" s="62"/>
      <c r="AW101" s="62"/>
      <c r="AX101" s="62"/>
      <c r="AY101" s="62"/>
      <c r="AZ101" s="62"/>
      <c r="BA101" s="62"/>
      <c r="BB101" s="62"/>
      <c r="BC101" s="62"/>
      <c r="BD101" s="62"/>
      <c r="BE101" s="62"/>
      <c r="BF101" s="62"/>
      <c r="BG101" s="62"/>
      <c r="BH101" s="62"/>
      <c r="BI101" s="62"/>
      <c r="BJ101" s="63"/>
      <c r="BL101" s="61"/>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3"/>
    </row>
    <row r="102" spans="2:89" x14ac:dyDescent="0.3">
      <c r="B102" s="61"/>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62"/>
      <c r="AG102" s="62"/>
      <c r="AH102" s="62"/>
      <c r="AI102" s="62"/>
      <c r="AJ102" s="62"/>
      <c r="AK102" s="62"/>
      <c r="AL102" s="62"/>
      <c r="AM102" s="62"/>
      <c r="AN102" s="62"/>
      <c r="AO102" s="62"/>
      <c r="AP102" s="62"/>
      <c r="AQ102" s="62"/>
      <c r="AR102" s="62"/>
      <c r="AS102" s="62"/>
      <c r="AT102" s="62"/>
      <c r="AU102" s="62"/>
      <c r="AV102" s="62"/>
      <c r="AW102" s="62"/>
      <c r="AX102" s="62"/>
      <c r="AY102" s="62"/>
      <c r="AZ102" s="62"/>
      <c r="BA102" s="62"/>
      <c r="BB102" s="62"/>
      <c r="BC102" s="62"/>
      <c r="BD102" s="62"/>
      <c r="BE102" s="62"/>
      <c r="BF102" s="62"/>
      <c r="BG102" s="62"/>
      <c r="BH102" s="62"/>
      <c r="BI102" s="62"/>
      <c r="BJ102" s="63"/>
      <c r="BL102" s="61"/>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3"/>
    </row>
    <row r="103" spans="2:89" x14ac:dyDescent="0.3">
      <c r="B103" s="61"/>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62"/>
      <c r="AG103" s="62"/>
      <c r="AH103" s="62"/>
      <c r="AI103" s="62"/>
      <c r="AJ103" s="62"/>
      <c r="AK103" s="62"/>
      <c r="AL103" s="62"/>
      <c r="AM103" s="62"/>
      <c r="AN103" s="62"/>
      <c r="AO103" s="62"/>
      <c r="AP103" s="62"/>
      <c r="AQ103" s="62"/>
      <c r="AR103" s="62"/>
      <c r="AS103" s="62"/>
      <c r="AT103" s="62"/>
      <c r="AU103" s="62"/>
      <c r="AV103" s="62"/>
      <c r="AW103" s="62"/>
      <c r="AX103" s="62"/>
      <c r="AY103" s="62"/>
      <c r="AZ103" s="62"/>
      <c r="BA103" s="62"/>
      <c r="BB103" s="62"/>
      <c r="BC103" s="62"/>
      <c r="BD103" s="62"/>
      <c r="BE103" s="62"/>
      <c r="BF103" s="62"/>
      <c r="BG103" s="62"/>
      <c r="BH103" s="62"/>
      <c r="BI103" s="62"/>
      <c r="BJ103" s="63"/>
      <c r="BL103" s="61"/>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3"/>
    </row>
    <row r="104" spans="2:89" x14ac:dyDescent="0.3">
      <c r="B104" s="61"/>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2"/>
      <c r="AT104" s="62"/>
      <c r="AU104" s="62"/>
      <c r="AV104" s="62"/>
      <c r="AW104" s="62"/>
      <c r="AX104" s="62"/>
      <c r="AY104" s="62"/>
      <c r="AZ104" s="62"/>
      <c r="BA104" s="62"/>
      <c r="BB104" s="62"/>
      <c r="BC104" s="62"/>
      <c r="BD104" s="62"/>
      <c r="BE104" s="62"/>
      <c r="BF104" s="62"/>
      <c r="BG104" s="62"/>
      <c r="BH104" s="62"/>
      <c r="BI104" s="62"/>
      <c r="BJ104" s="63"/>
      <c r="BL104" s="61"/>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3"/>
    </row>
    <row r="105" spans="2:89" x14ac:dyDescent="0.3">
      <c r="B105" s="61"/>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62"/>
      <c r="BD105" s="62"/>
      <c r="BE105" s="62"/>
      <c r="BF105" s="62"/>
      <c r="BG105" s="62"/>
      <c r="BH105" s="62"/>
      <c r="BI105" s="62"/>
      <c r="BJ105" s="63"/>
      <c r="BL105" s="61"/>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3"/>
    </row>
    <row r="106" spans="2:89" x14ac:dyDescent="0.3">
      <c r="B106" s="61"/>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62"/>
      <c r="AG106" s="62"/>
      <c r="AH106" s="62"/>
      <c r="AI106" s="62"/>
      <c r="AJ106" s="62"/>
      <c r="AK106" s="62"/>
      <c r="AL106" s="62"/>
      <c r="AM106" s="62"/>
      <c r="AN106" s="62"/>
      <c r="AO106" s="62"/>
      <c r="AP106" s="62"/>
      <c r="AQ106" s="62"/>
      <c r="AR106" s="62"/>
      <c r="AS106" s="62"/>
      <c r="AT106" s="62"/>
      <c r="AU106" s="62"/>
      <c r="AV106" s="62"/>
      <c r="AW106" s="62"/>
      <c r="AX106" s="62"/>
      <c r="AY106" s="62"/>
      <c r="AZ106" s="62"/>
      <c r="BA106" s="62"/>
      <c r="BB106" s="62"/>
      <c r="BC106" s="62"/>
      <c r="BD106" s="62"/>
      <c r="BE106" s="62"/>
      <c r="BF106" s="62"/>
      <c r="BG106" s="62"/>
      <c r="BH106" s="62"/>
      <c r="BI106" s="62"/>
      <c r="BJ106" s="63"/>
      <c r="BL106" s="61"/>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3"/>
    </row>
    <row r="107" spans="2:89" ht="15" customHeight="1" thickBot="1" x14ac:dyDescent="0.35">
      <c r="B107" s="64"/>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6"/>
      <c r="BL107" s="64"/>
      <c r="BM107" s="65"/>
      <c r="BN107" s="65"/>
      <c r="BO107" s="65"/>
      <c r="BP107" s="65"/>
      <c r="BQ107" s="65"/>
      <c r="BR107" s="65"/>
      <c r="BS107" s="65"/>
      <c r="BT107" s="65"/>
      <c r="BU107" s="65"/>
      <c r="BV107" s="65"/>
      <c r="BW107" s="65"/>
      <c r="BX107" s="65"/>
      <c r="BY107" s="65"/>
      <c r="BZ107" s="65"/>
      <c r="CA107" s="65"/>
      <c r="CB107" s="65"/>
      <c r="CC107" s="65"/>
      <c r="CD107" s="65"/>
      <c r="CE107" s="65"/>
      <c r="CF107" s="65"/>
      <c r="CG107" s="65"/>
      <c r="CH107" s="65"/>
      <c r="CI107" s="65"/>
      <c r="CJ107" s="65"/>
      <c r="CK107" s="66"/>
    </row>
    <row r="109" spans="2:89" x14ac:dyDescent="0.3">
      <c r="C109" s="45" t="s">
        <v>103</v>
      </c>
      <c r="D109" s="45"/>
      <c r="E109" s="45"/>
      <c r="F109" s="45"/>
      <c r="G109" s="46" t="s">
        <v>103</v>
      </c>
      <c r="H109" s="47"/>
      <c r="I109" s="47"/>
      <c r="J109" s="47"/>
      <c r="K109" s="47"/>
      <c r="L109" s="46" t="s">
        <v>104</v>
      </c>
      <c r="M109" s="47"/>
      <c r="N109" s="47"/>
      <c r="O109" s="47"/>
      <c r="P109" s="47"/>
      <c r="Q109" s="46" t="s">
        <v>105</v>
      </c>
      <c r="R109" s="48"/>
      <c r="S109" s="48"/>
      <c r="T109" s="48"/>
      <c r="U109" s="48"/>
      <c r="V109" s="45" t="s">
        <v>106</v>
      </c>
      <c r="W109" s="48"/>
      <c r="X109" s="48"/>
      <c r="Y109" s="48"/>
      <c r="Z109" s="48"/>
      <c r="AA109" s="45" t="s">
        <v>107</v>
      </c>
      <c r="AB109" s="48"/>
      <c r="AC109" s="48"/>
      <c r="AD109" s="48"/>
      <c r="AE109" s="48"/>
      <c r="AF109" s="45" t="s">
        <v>108</v>
      </c>
      <c r="AG109" s="45"/>
      <c r="AH109" s="45"/>
      <c r="AI109" s="45"/>
      <c r="AJ109" s="45"/>
      <c r="AK109" s="45"/>
      <c r="AL109" s="45"/>
      <c r="AM109" s="45"/>
      <c r="AN109" s="45"/>
      <c r="AO109" s="45" t="str">
        <f>'Fremtid vækst'!C3</f>
        <v>Q1 2026</v>
      </c>
      <c r="AP109" s="45"/>
      <c r="AX109" s="45" t="str">
        <f>'Fremtid vækst'!D3</f>
        <v>Q2 2026</v>
      </c>
    </row>
    <row r="110" spans="2:89" ht="18" customHeight="1" x14ac:dyDescent="0.35">
      <c r="B110" s="49" t="s">
        <v>102</v>
      </c>
      <c r="C110" s="45" t="s">
        <v>94</v>
      </c>
      <c r="D110" s="45" t="s">
        <v>93</v>
      </c>
      <c r="E110" s="45" t="s">
        <v>109</v>
      </c>
      <c r="F110" s="45" t="s">
        <v>96</v>
      </c>
      <c r="G110" s="46" t="s">
        <v>110</v>
      </c>
      <c r="H110" s="46" t="s">
        <v>94</v>
      </c>
      <c r="I110" s="46" t="s">
        <v>93</v>
      </c>
      <c r="J110" s="46" t="s">
        <v>109</v>
      </c>
      <c r="K110" s="46" t="s">
        <v>96</v>
      </c>
      <c r="L110" s="46" t="s">
        <v>110</v>
      </c>
      <c r="M110" s="46" t="s">
        <v>94</v>
      </c>
      <c r="N110" s="46" t="s">
        <v>93</v>
      </c>
      <c r="O110" s="46" t="s">
        <v>109</v>
      </c>
      <c r="P110" s="46" t="s">
        <v>96</v>
      </c>
      <c r="Q110" s="46" t="s">
        <v>110</v>
      </c>
      <c r="R110" s="46" t="s">
        <v>94</v>
      </c>
      <c r="S110" s="46" t="s">
        <v>93</v>
      </c>
      <c r="T110" s="46" t="s">
        <v>109</v>
      </c>
      <c r="U110" s="46" t="s">
        <v>96</v>
      </c>
      <c r="V110" s="46" t="s">
        <v>110</v>
      </c>
      <c r="W110" s="46" t="s">
        <v>94</v>
      </c>
      <c r="X110" s="46" t="s">
        <v>93</v>
      </c>
      <c r="Y110" s="46" t="s">
        <v>109</v>
      </c>
      <c r="Z110" s="46" t="s">
        <v>96</v>
      </c>
      <c r="AA110" s="46" t="s">
        <v>110</v>
      </c>
      <c r="AB110" s="46" t="s">
        <v>94</v>
      </c>
      <c r="AC110" s="46" t="s">
        <v>93</v>
      </c>
      <c r="AD110" s="46" t="s">
        <v>109</v>
      </c>
      <c r="AE110" s="46" t="s">
        <v>96</v>
      </c>
      <c r="AF110" s="46" t="s">
        <v>110</v>
      </c>
      <c r="AG110" s="47" t="s">
        <v>94</v>
      </c>
      <c r="AH110" s="47" t="s">
        <v>93</v>
      </c>
      <c r="AI110" s="47" t="s">
        <v>109</v>
      </c>
      <c r="AJ110" s="47" t="s">
        <v>96</v>
      </c>
      <c r="AK110" s="47" t="s">
        <v>97</v>
      </c>
      <c r="AL110" s="47" t="s">
        <v>98</v>
      </c>
      <c r="AM110" s="47" t="s">
        <v>111</v>
      </c>
      <c r="AN110" s="47" t="s">
        <v>100</v>
      </c>
      <c r="AO110" s="47" t="s">
        <v>110</v>
      </c>
      <c r="AP110" s="47" t="s">
        <v>94</v>
      </c>
      <c r="AQ110" s="47" t="s">
        <v>93</v>
      </c>
      <c r="AR110" s="47" t="s">
        <v>109</v>
      </c>
      <c r="AS110" s="47" t="s">
        <v>96</v>
      </c>
      <c r="AT110" s="47" t="s">
        <v>97</v>
      </c>
      <c r="AU110" s="47" t="s">
        <v>98</v>
      </c>
      <c r="AV110" s="47" t="s">
        <v>111</v>
      </c>
      <c r="AW110" s="47" t="s">
        <v>100</v>
      </c>
      <c r="AX110" s="47" t="s">
        <v>110</v>
      </c>
    </row>
    <row r="111" spans="2:89" x14ac:dyDescent="0.3">
      <c r="B111" s="50" t="s">
        <v>9</v>
      </c>
      <c r="C111" s="51">
        <f>IF(PMI!$F$5=PMI!$B$43,PMI!$B44,IF(PMI!$F$5=PMI!$C$43,PMI!$C44,IF(PMI!$F$5=PMI!$D$44,PMI!$D44,IF(PMI!$F$5=PMI!$E$43,PMI!$E44,1))))</f>
        <v>4</v>
      </c>
      <c r="D111" s="44">
        <f>BNP!C88</f>
        <v>3</v>
      </c>
      <c r="E111" s="44">
        <f>IF('10 yr rate'!$E$4='10 yr rate'!$B$35,'10 yr rate'!$B36,IF('10 yr rate'!$E$4='10 yr rate'!$C$35,'10 yr rate'!$C36,IF('10 yr rate'!$E$4='10 yr rate'!$D$35,'10 yr rate'!$D36,IF('10 yr rate'!$E$4='10 yr rate'!$E$36,'10 yr rate'!$E36,1))))</f>
        <v>4</v>
      </c>
      <c r="F111" s="44">
        <f>IF('CPI(Inflation)'!$E$23='CPI(Inflation)'!$B$33,'CPI(Inflation)'!$B34,IF('CPI(Inflation)'!$E$23='CPI(Inflation)'!$C$33,'CPI(Inflation)'!$C34,IF('CPI(Inflation)'!$E$23='CPI(Inflation)'!$D$33,'CPI(Inflation)'!$D34,IF('CPI(Inflation)'!$E$23='CPI(Inflation)'!$E$33,'CPI(Inflation)'!$E34,1))))</f>
        <v>2</v>
      </c>
      <c r="G111" s="72">
        <f t="shared" ref="G111:G121" si="16">AVERAGE(C111*0.3 + D111*0.2 + E111*0.2 + F111*0.3)</f>
        <v>3.2</v>
      </c>
      <c r="H111" s="51">
        <f>IF(PMI!$F$6=PMI!$B$43,PMI!$B44,IF(PMI!$F$6=PMI!$C$43,PMI!$C44,IF(PMI!$F$6=PMI!$D$44,PMI!$D44,IF(PMI!$F$6=PMI!$E$43,PMI!$E44,1))))</f>
        <v>4</v>
      </c>
      <c r="I111" s="44">
        <f>BNP!D88</f>
        <v>3</v>
      </c>
      <c r="J111" s="44">
        <f>IF('10 yr rate'!$E$5='10 yr rate'!$B$35,'10 yr rate'!$B36,IF('10 yr rate'!$E$5='10 yr rate'!$C$35,'10 yr rate'!$C36,IF('10 yr rate'!$E$5='10 yr rate'!$D$35,'10 yr rate'!$D36,IF('10 yr rate'!$E$5='10 yr rate'!$E$35,'10 yr rate'!$E36,1))))</f>
        <v>2</v>
      </c>
      <c r="K111" s="44">
        <f>IF('CPI(Inflation)'!$E$24='CPI(Inflation)'!$B$33,'CPI(Inflation)'!$B34,IF('CPI(Inflation)'!$E$24='CPI(Inflation)'!$C$33,'CPI(Inflation)'!$C34,IF('CPI(Inflation)'!$E$24='CPI(Inflation)'!$D$33,'CPI(Inflation)'!$D34,IF('CPI(Inflation)'!$E$24='CPI(Inflation)'!$E$33,'CPI(Inflation)'!$E34,1))))</f>
        <v>2</v>
      </c>
      <c r="L111" s="72">
        <f t="shared" ref="L111:L121" si="17">AVERAGE(H111*0.3 + I111*0.2 + J111*0.2 + K111*0.3)</f>
        <v>2.8000000000000003</v>
      </c>
      <c r="M111" s="51">
        <f>IF(PMI!$F$7=PMI!$B$43,PMI!$B44,IF(PMI!$F$7=PMI!$C$43,PMI!$C44,IF(PMI!$F$7=PMI!$D$44,PMI!$D44,IF(PMI!$F$7=PMI!$E$43,PMI!$E44,1))))</f>
        <v>4</v>
      </c>
      <c r="N111" s="44">
        <f>BNP!E88</f>
        <v>3</v>
      </c>
      <c r="O111" s="44">
        <f>IF('10 yr rate'!$E$6='10 yr rate'!$B$35,'10 yr rate'!$B36,IF('10 yr rate'!$E$6='10 yr rate'!$C$35,'10 yr rate'!$C36,IF('10 yr rate'!$E$6='10 yr rate'!$D$35,'10 yr rate'!$D36,IF('10 yr rate'!$E$6='10 yr rate'!$E$35,'10 yr rate'!$E36,1))))</f>
        <v>2</v>
      </c>
      <c r="P111" s="44">
        <f>IF('CPI(Inflation)'!$E$25='CPI(Inflation)'!$B$33,'CPI(Inflation)'!$B34,IF('CPI(Inflation)'!$E$25='CPI(Inflation)'!$C$33,'CPI(Inflation)'!$C34,IF('CPI(Inflation)'!$E$25='CPI(Inflation)'!$D$33,'CPI(Inflation)'!$D34,IF('CPI(Inflation)'!$E$25='CPI(Inflation)'!$E$33,'CPI(Inflation)'!$E34,1))))</f>
        <v>2</v>
      </c>
      <c r="Q111" s="72">
        <f t="shared" ref="Q111:Q121" si="18">AVERAGE(M111*0.3 + N111*0.2 + O111*0.2 + P111*0.3)</f>
        <v>2.8000000000000003</v>
      </c>
      <c r="R111" s="51">
        <f>IF(PMI!$F$8=PMI!$B$43,PMI!$B44,IF(PMI!$F$8=PMI!$C$43,PMI!$C44,IF(PMI!$F$8=PMI!$D$44,PMI!$D44,IF(PMI!$F$8=PMI!$E$43,PMI!$E44,1))))</f>
        <v>4</v>
      </c>
      <c r="S111" s="44">
        <f>BNP!F88</f>
        <v>3</v>
      </c>
      <c r="T111" s="44">
        <f>IF('10 yr rate'!$E$7='10 yr rate'!$B$35,'10 yr rate'!$B36,IF('10 yr rate'!$E$7='10 yr rate'!$C$35,'10 yr rate'!$C36,IF('10 yr rate'!$E$7='10 yr rate'!$D$35,'10 yr rate'!$D36,IF('10 yr rate'!$E$7='10 yr rate'!$E$35,'10 yr rate'!$E36,1))))</f>
        <v>2</v>
      </c>
      <c r="U111" s="44">
        <f>IF('CPI(Inflation)'!$E$26='CPI(Inflation)'!$B$33,'CPI(Inflation)'!$B34,IF('CPI(Inflation)'!$E$26='CPI(Inflation)'!$C$33,'CPI(Inflation)'!$C34,IF('CPI(Inflation)'!$E$26='CPI(Inflation)'!$D$33,'CPI(Inflation)'!$D34,IF('CPI(Inflation)'!$E$26='CPI(Inflation)'!$E$33,'CPI(Inflation)'!$E34,1))))</f>
        <v>4</v>
      </c>
      <c r="V111" s="72">
        <f t="shared" ref="V111:V121" si="19">AVERAGE(R111*0.3 + S111*0.2 + T111*0.2 + U111*0.3)</f>
        <v>3.4000000000000004</v>
      </c>
      <c r="W111" s="51">
        <f>IF(PMI!$F$9=PMI!$B$43,PMI!$B44,IF(PMI!$F$9=PMI!$C$43,PMI!$C44,IF(PMI!$F$9=PMI!$D$44,PMI!$D44,IF(PMI!$F$9=PMI!$E$43,PMI!$E44,1))))</f>
        <v>4</v>
      </c>
      <c r="X111" s="44">
        <f>BNP!G88</f>
        <v>3</v>
      </c>
      <c r="Y111" s="44">
        <f>IF('10 yr rate'!$E$8='10 yr rate'!$B$35,'10 yr rate'!$B36,IF('10 yr rate'!$E$8='10 yr rate'!$C$35,'10 yr rate'!$C36,IF('10 yr rate'!$E$8='10 yr rate'!$D$35,'10 yr rate'!$D36,IF('10 yr rate'!$E$8='10 yr rate'!$E$35,'10 yr rate'!$E36,1))))</f>
        <v>2</v>
      </c>
      <c r="Z111" s="44">
        <f>IF('CPI(Inflation)'!$E$27='CPI(Inflation)'!$B$33,'CPI(Inflation)'!$B34,IF('CPI(Inflation)'!$E$27='CPI(Inflation)'!$C$33,'CPI(Inflation)'!$C34,IF('CPI(Inflation)'!$E$27='CPI(Inflation)'!$D$33,'CPI(Inflation)'!$D34,IF('CPI(Inflation)'!$E$27='CPI(Inflation)'!$E$33,'CPI(Inflation)'!$E34,1))))</f>
        <v>4</v>
      </c>
      <c r="AA111" s="72">
        <f t="shared" ref="AA111:AA121" si="20">AVERAGE(W111*0.3 + X111*0.2 + Y111*0.2 + Z111*0.3)</f>
        <v>3.4000000000000004</v>
      </c>
      <c r="AB111" s="51">
        <f>IF(PMI!$F$10=PMI!$B$43,PMI!$B44,IF(PMI!$F$10=PMI!$C$43,PMI!$C44,IF(PMI!$F$10=PMI!$D$44,PMI!$D44,IF(PMI!$F$10=PMI!$E$43,PMI!$E44,1))))</f>
        <v>4</v>
      </c>
      <c r="AC111" s="44">
        <f>BNP!H88</f>
        <v>3</v>
      </c>
      <c r="AD111" s="44">
        <f>IF('10 yr rate'!$E$9='10 yr rate'!$B$35,'10 yr rate'!$B36,IF('10 yr rate'!$E$9='10 yr rate'!$C$35,'10 yr rate'!$C36,IF('10 yr rate'!$E$9='10 yr rate'!$D$35,'10 yr rate'!$D36,IF('10 yr rate'!$E$9='10 yr rate'!$E$35,'10 yr rate'!$E36,1))))</f>
        <v>2</v>
      </c>
      <c r="AE111" s="44">
        <f>IF('CPI(Inflation)'!$E$28='CPI(Inflation)'!$B$33,'CPI(Inflation)'!$B34,IF('CPI(Inflation)'!$E$28='CPI(Inflation)'!$C$33,'CPI(Inflation)'!$C34,IF('CPI(Inflation)'!$E$28='CPI(Inflation)'!$D$33,'CPI(Inflation)'!$D34,IF('CPI(Inflation)'!$E$28='CPI(Inflation)'!$E$33,'CPI(Inflation)'!$E34,1))))</f>
        <v>4</v>
      </c>
      <c r="AF111" s="72">
        <f t="shared" ref="AF111:AF121" si="21">AVERAGE(AB111*0.3 + AC111*0.2 + AD111*0.2 + AE111*0.3)</f>
        <v>3.4000000000000004</v>
      </c>
      <c r="AG111" s="85">
        <f>IF(PMI!$F$11=PMI!$B$43,PMI!$B44,IF(PMI!$F$11=PMI!$C$43,PMI!$C44,IF(PMI!$F$11=PMI!$D$43,PMI!$D44,IF(PMI!$F$11=PMI!$E$43,PMI!$E44,1))))</f>
        <v>4</v>
      </c>
      <c r="AH111" s="89">
        <f>BNP!I88</f>
        <v>3</v>
      </c>
      <c r="AI111" s="89">
        <f>IF('10 yr rate'!$E$10='10 yr rate'!$B$35,'10 yr rate'!$B36,IF('10 yr rate'!$E$10='10 yr rate'!$C$35,'10 yr rate'!$C36,IF('10 yr rate'!$E$10='10 yr rate'!$D$35,'10 yr rate'!$D36,IF('10 yr rate'!$E$10='10 yr rate'!$E$35,'10 yr rate'!$E36,1))))</f>
        <v>2</v>
      </c>
      <c r="AJ111" s="89">
        <f>IF('CPI(Inflation)'!$E$29='CPI(Inflation)'!$B$33,'CPI(Inflation)'!$B34,IF('CPI(Inflation)'!$E$29='CPI(Inflation)'!$C$33,'CPI(Inflation)'!$C34,IF('CPI(Inflation)'!$E$29='CPI(Inflation)'!$D$33,'CPI(Inflation)'!$D34,IF('CPI(Inflation)'!$E$29='CPI(Inflation)'!$E$33,'CPI(Inflation)'!$E34,1))))</f>
        <v>4</v>
      </c>
      <c r="AK111" s="89">
        <f>'Baltic Dry Index'!B34</f>
        <v>4</v>
      </c>
      <c r="AL111" s="89">
        <f>IF(VIX!$F$15=VIX!$B$33,VIX!B34,IF(VIX!$F$15=VIX!$C$33,VIX!C34,IF(VIX!$F$15=VIX!$D$33,VIX!D34,IF(VIX!$F$15=VIX!$E$33,VIX!E34,1))))</f>
        <v>4</v>
      </c>
      <c r="AM111" s="89">
        <f>IF(Currency!$F$15=Currency!$B$33,Currency!B34,IF(Currency!$F$15=Currency!$C$33,Currency!C34,IF(Currency!$F$15=Currency!$D$33,Currency!D34,IF(Currency!$F$15=Currency!$E$33,Currency!E34,1))))</f>
        <v>2</v>
      </c>
      <c r="AN111" s="89">
        <f>IF(Unemployment!$F$15=Unemployment!$B$33,Unemployment!B34,IF(Unemployment!$F$15=Unemployment!$C$33,Unemployment!C34,IF(Unemployment!$F$15=Unemployment!$D$33,Unemployment!D34,IF(Unemployment!$F$15=Unemployment!$E$33,Unemployment!E34,1))))</f>
        <v>4</v>
      </c>
      <c r="AO111" s="92">
        <f>AVERAGE(AG111*0.2222 + AH111*0.1944 + AI111*0.1667 + AJ111*0.1389 + AK111*0.0556 + AL111*0.0556 + AM111*0.0556 + AN111*0.1111)</f>
        <v>3.3613999999999997</v>
      </c>
      <c r="AP111" s="85">
        <f>IF(PMI!$F$12=PMI!$B$43,PMI!$B44,IF(PMI!$F$12=PMI!$C$43,PMI!$C44,IF(PMI!$F$12=PMI!$D$44,PMI!$D44,IF(PMI!$F$12=PMI!$E$43,PMI!$E44,1))))</f>
        <v>4</v>
      </c>
      <c r="AQ111" s="89">
        <f>BNP!J88</f>
        <v>3</v>
      </c>
      <c r="AR111" s="89">
        <f>IF('10 yr rate'!$E$11='10 yr rate'!$B$35,'10 yr rate'!$B36,IF('10 yr rate'!$E$11='10 yr rate'!$C$35,'10 yr rate'!$C36,IF('10 yr rate'!$E$11='10 yr rate'!$D$35,'10 yr rate'!$D36,IF('10 yr rate'!$E$11='10 yr rate'!$E$35,'10 yr rate'!$E36,1))))</f>
        <v>2</v>
      </c>
      <c r="AS111" s="89">
        <f>IF('CPI(Inflation)'!$E$30='CPI(Inflation)'!$B$33,'CPI(Inflation)'!$B34,IF('CPI(Inflation)'!$E$30='CPI(Inflation)'!$C$33,'CPI(Inflation)'!$C34,IF('CPI(Inflation)'!$E$30='CPI(Inflation)'!$D$33,'CPI(Inflation)'!$D34,IF('CPI(Inflation)'!$E$30='CPI(Inflation)'!$E$33,'CPI(Inflation)'!$E34,1))))</f>
        <v>4</v>
      </c>
      <c r="AT111" s="89">
        <f>'Baltic Dry Index'!B34</f>
        <v>4</v>
      </c>
      <c r="AU111" s="89">
        <f>IF(VIX!$F$16=VIX!$B$33,VIX!B34,IF(VIX!$F$16=VIX!$C$33,VIX!C34,IF(VIX!$F$16=VIX!$D$33,VIX!D34,IF(VIX!$F$16=VIX!$E$33,VIX!E34,1))))</f>
        <v>1</v>
      </c>
      <c r="AV111" s="89">
        <f>IF(Currency!$F$16=Currency!$B$33,Currency!B34,IF(Currency!$F$16=Currency!$C$33,Currency!C34,IF(Currency!$F$16=Currency!$D$33,Currency!D34,IF(Currency!$F$16=Currency!$E$33,Currency!E34,1))))</f>
        <v>4</v>
      </c>
      <c r="AW111" s="89">
        <f>IF(Unemployment!$F$16=Unemployment!$B$33,Unemployment!B34,IF(Unemployment!$F$16=Unemployment!$C$33,Unemployment!C34,IF(Unemployment!$F$16=Unemployment!$D$33,Unemployment!D34,IF(Unemployment!$F$16=Unemployment!$E$33,Unemployment!E34,1))))</f>
        <v>4</v>
      </c>
      <c r="AX111" s="92">
        <f>AVERAGE(AP111*0.2222 + AQ111*0.1944 + AR111*0.1667 + AS111*0.1389 + AT111*0.0556 + AU111*0.0556 + AV111*0.0556 + AW111*0.1111)</f>
        <v>3.3057999999999996</v>
      </c>
    </row>
    <row r="112" spans="2:89" x14ac:dyDescent="0.3">
      <c r="B112" s="53" t="s">
        <v>10</v>
      </c>
      <c r="C112" s="51">
        <f>IF(PMI!$F$5=PMI!$B$43,PMI!$B45,IF(PMI!$F$5=PMI!$C$43,PMI!$C45,IF(PMI!$F$5=PMI!$D$44,PMI!$D45,IF(PMI!$F$5=PMI!$E$43,PMI!$E45,1))))</f>
        <v>5</v>
      </c>
      <c r="D112" s="44">
        <f>BNP!C93</f>
        <v>4</v>
      </c>
      <c r="E112" s="44">
        <f>IF('10 yr rate'!$E$4='10 yr rate'!$B$35,'10 yr rate'!$B37,IF('10 yr rate'!$E$4='10 yr rate'!$C$35,'10 yr rate'!$C37,IF('10 yr rate'!$E$4='10 yr rate'!$D$35,'10 yr rate'!$D37,IF('10 yr rate'!$E$4='10 yr rate'!$E$36,'10 yr rate'!$E37,1))))</f>
        <v>2</v>
      </c>
      <c r="F112" s="44">
        <f>IF('CPI(Inflation)'!$E$23='CPI(Inflation)'!$B$33,'CPI(Inflation)'!$B35,IF('CPI(Inflation)'!$E$23='CPI(Inflation)'!$C$33,'CPI(Inflation)'!$C35,IF('CPI(Inflation)'!$E$23='CPI(Inflation)'!$D$33,'CPI(Inflation)'!$D35,IF('CPI(Inflation)'!$E$23='CPI(Inflation)'!$E$33,'CPI(Inflation)'!$E35,1))))</f>
        <v>3</v>
      </c>
      <c r="G112" s="73">
        <f t="shared" si="16"/>
        <v>3.5999999999999996</v>
      </c>
      <c r="H112" s="51">
        <f>IF(PMI!$F$6=PMI!$B$43,PMI!$B45,IF(PMI!$F$6=PMI!$C$43,PMI!$C45,IF(PMI!$F$6=PMI!$D$44,PMI!$D45,IF(PMI!$F$6=PMI!$E$43,PMI!$E45,1))))</f>
        <v>5</v>
      </c>
      <c r="I112" s="44">
        <f>BNP!D93</f>
        <v>2</v>
      </c>
      <c r="J112" s="44">
        <f>IF('10 yr rate'!$E$5='10 yr rate'!$B$35,'10 yr rate'!$B37,IF('10 yr rate'!$E$5='10 yr rate'!$C$35,'10 yr rate'!$C37,IF('10 yr rate'!$E$5='10 yr rate'!$D$35,'10 yr rate'!$D37,IF('10 yr rate'!$E$5='10 yr rate'!$E$35,'10 yr rate'!$E37,1))))</f>
        <v>3</v>
      </c>
      <c r="K112" s="44">
        <f>IF('CPI(Inflation)'!$E$24='CPI(Inflation)'!$B$33,'CPI(Inflation)'!$B35,IF('CPI(Inflation)'!$E$24='CPI(Inflation)'!$C$33,'CPI(Inflation)'!$C35,IF('CPI(Inflation)'!$E$24='CPI(Inflation)'!$D$33,'CPI(Inflation)'!$D35,IF('CPI(Inflation)'!$E$24='CPI(Inflation)'!$E$33,'CPI(Inflation)'!$E35,1))))</f>
        <v>3</v>
      </c>
      <c r="L112" s="73">
        <f t="shared" si="17"/>
        <v>3.4</v>
      </c>
      <c r="M112" s="51">
        <f>IF(PMI!$F$7=PMI!$B$43,PMI!$B45,IF(PMI!$F$7=PMI!$C$43,PMI!$C45,IF(PMI!$F$7=PMI!$D$44,PMI!$D45,IF(PMI!$F$7=PMI!$E$43,PMI!$E45,1))))</f>
        <v>5</v>
      </c>
      <c r="N112" s="44">
        <f>BNP!E93</f>
        <v>4</v>
      </c>
      <c r="O112" s="44">
        <f>IF('10 yr rate'!$E$6='10 yr rate'!$B$35,'10 yr rate'!$B37,IF('10 yr rate'!$E$6='10 yr rate'!$C$35,'10 yr rate'!$C37,IF('10 yr rate'!$E$6='10 yr rate'!$D$35,'10 yr rate'!$D37,IF('10 yr rate'!$E$6='10 yr rate'!$E$35,'10 yr rate'!$E37,1))))</f>
        <v>3</v>
      </c>
      <c r="P112" s="44">
        <f>IF('CPI(Inflation)'!$E$25='CPI(Inflation)'!$B$33,'CPI(Inflation)'!$B35,IF('CPI(Inflation)'!$E$25='CPI(Inflation)'!$C$33,'CPI(Inflation)'!$C35,IF('CPI(Inflation)'!$E$25='CPI(Inflation)'!$D$33,'CPI(Inflation)'!$D35,IF('CPI(Inflation)'!$E$25='CPI(Inflation)'!$E$33,'CPI(Inflation)'!$E35,1))))</f>
        <v>3</v>
      </c>
      <c r="Q112" s="73">
        <f t="shared" si="18"/>
        <v>3.8</v>
      </c>
      <c r="R112" s="51">
        <f>IF(PMI!$F$8=PMI!$B$43,PMI!$B45,IF(PMI!$F$8=PMI!$C$43,PMI!$C45,IF(PMI!$F$8=PMI!$D$44,PMI!$D45,IF(PMI!$F$8=PMI!$E$43,PMI!$E45,1))))</f>
        <v>5</v>
      </c>
      <c r="S112" s="44">
        <f>BNP!F93</f>
        <v>4</v>
      </c>
      <c r="T112" s="44">
        <f>IF('10 yr rate'!$E$7='10 yr rate'!$B$35,'10 yr rate'!$B37,IF('10 yr rate'!$E$7='10 yr rate'!$C$35,'10 yr rate'!$C37,IF('10 yr rate'!$E$7='10 yr rate'!$D$35,'10 yr rate'!$D37,IF('10 yr rate'!$E$7='10 yr rate'!$E$35,'10 yr rate'!$E37,1))))</f>
        <v>3</v>
      </c>
      <c r="U112" s="44">
        <f>IF('CPI(Inflation)'!$E$26='CPI(Inflation)'!$B$33,'CPI(Inflation)'!$B35,IF('CPI(Inflation)'!$E$26='CPI(Inflation)'!$C$33,'CPI(Inflation)'!$C35,IF('CPI(Inflation)'!$E$26='CPI(Inflation)'!$D$33,'CPI(Inflation)'!$D35,IF('CPI(Inflation)'!$E$26='CPI(Inflation)'!$E$33,'CPI(Inflation)'!$E35,1))))</f>
        <v>2</v>
      </c>
      <c r="V112" s="73">
        <f t="shared" si="19"/>
        <v>3.5</v>
      </c>
      <c r="W112" s="51">
        <f>IF(PMI!$F$9=PMI!$B$43,PMI!$B45,IF(PMI!$F$9=PMI!$C$43,PMI!$C45,IF(PMI!$F$9=PMI!$D$44,PMI!$D45,IF(PMI!$F$9=PMI!$E$43,PMI!$E45,1))))</f>
        <v>2</v>
      </c>
      <c r="X112" s="44">
        <f>BNP!G93</f>
        <v>1</v>
      </c>
      <c r="Y112" s="44">
        <f>IF('10 yr rate'!$E$8='10 yr rate'!$B$35,'10 yr rate'!$B37,IF('10 yr rate'!$E$8='10 yr rate'!$C$35,'10 yr rate'!$C37,IF('10 yr rate'!$E$8='10 yr rate'!$D$35,'10 yr rate'!$D37,IF('10 yr rate'!$E$8='10 yr rate'!$E$35,'10 yr rate'!$E37,1))))</f>
        <v>3</v>
      </c>
      <c r="Z112" s="44">
        <f>IF('CPI(Inflation)'!$E$27='CPI(Inflation)'!$B$33,'CPI(Inflation)'!$B35,IF('CPI(Inflation)'!$E$27='CPI(Inflation)'!$C$33,'CPI(Inflation)'!$C35,IF('CPI(Inflation)'!$E$27='CPI(Inflation)'!$D$33,'CPI(Inflation)'!$D35,IF('CPI(Inflation)'!$E$27='CPI(Inflation)'!$E$33,'CPI(Inflation)'!$E35,1))))</f>
        <v>2</v>
      </c>
      <c r="AA112" s="73">
        <f t="shared" si="20"/>
        <v>2</v>
      </c>
      <c r="AB112" s="51">
        <f>IF(PMI!$F$10=PMI!$B$43,PMI!$B45,IF(PMI!$F$10=PMI!$C$43,PMI!$C45,IF(PMI!$F$10=PMI!$D$44,PMI!$D45,IF(PMI!$F$10=PMI!$E$43,PMI!$E45,1))))</f>
        <v>5</v>
      </c>
      <c r="AC112" s="44">
        <f>BNP!H93</f>
        <v>2</v>
      </c>
      <c r="AD112" s="44">
        <f>IF('10 yr rate'!$E$9='10 yr rate'!$B$35,'10 yr rate'!$B37,IF('10 yr rate'!$E$9='10 yr rate'!$C$35,'10 yr rate'!$C37,IF('10 yr rate'!$E$9='10 yr rate'!$D$35,'10 yr rate'!$D37,IF('10 yr rate'!$E$9='10 yr rate'!$E$35,'10 yr rate'!$E37,1))))</f>
        <v>3</v>
      </c>
      <c r="AE112" s="44">
        <f>IF('CPI(Inflation)'!$E$28='CPI(Inflation)'!$B$33,'CPI(Inflation)'!$B35,IF('CPI(Inflation)'!$E$28='CPI(Inflation)'!$C$33,'CPI(Inflation)'!$C35,IF('CPI(Inflation)'!$E$28='CPI(Inflation)'!$D$33,'CPI(Inflation)'!$D35,IF('CPI(Inflation)'!$E$28='CPI(Inflation)'!$E$33,'CPI(Inflation)'!$E35,1))))</f>
        <v>2</v>
      </c>
      <c r="AF112" s="73">
        <f t="shared" si="21"/>
        <v>3.1</v>
      </c>
      <c r="AG112" s="87">
        <f>IF(PMI!$F$11=PMI!$B$43,PMI!$B45,IF(PMI!$F$11=PMI!$C$43,PMI!$C45,IF(PMI!$F$11=PMI!$D$43,PMI!$D45,IF(PMI!$F$11=PMI!$E$43,PMI!$E45,1))))</f>
        <v>2</v>
      </c>
      <c r="AH112" s="44">
        <f>BNP!I93</f>
        <v>4</v>
      </c>
      <c r="AI112" s="44">
        <f>IF('10 yr rate'!$E$10='10 yr rate'!$B$35,'10 yr rate'!$B37,IF('10 yr rate'!$E$10='10 yr rate'!$C$35,'10 yr rate'!$C37,IF('10 yr rate'!$E$10='10 yr rate'!$D$35,'10 yr rate'!$D37,IF('10 yr rate'!$E$10='10 yr rate'!$E$35,'10 yr rate'!$E37,1))))</f>
        <v>3</v>
      </c>
      <c r="AJ112" s="44">
        <f>IF('CPI(Inflation)'!$E$29='CPI(Inflation)'!$B$33,'CPI(Inflation)'!$B35,IF('CPI(Inflation)'!$E$29='CPI(Inflation)'!$C$33,'CPI(Inflation)'!$C35,IF('CPI(Inflation)'!$E$29='CPI(Inflation)'!$D$33,'CPI(Inflation)'!$D35,IF('CPI(Inflation)'!$E$29='CPI(Inflation)'!$E$33,'CPI(Inflation)'!$E35,1))))</f>
        <v>2</v>
      </c>
      <c r="AK112" s="44">
        <f>'Baltic Dry Index'!B35</f>
        <v>5</v>
      </c>
      <c r="AL112" s="44">
        <f>IF(VIX!$F$15=VIX!$B$33,VIX!B35,IF(VIX!$F$15=VIX!$C$33,VIX!C35,IF(VIX!$F$15=VIX!$D$33,VIX!D35,IF(VIX!$F$15=VIX!$E$33,VIX!E35,1))))</f>
        <v>5</v>
      </c>
      <c r="AM112" s="44">
        <f>IF(Currency!$F$15=Currency!$B$33,Currency!B35,IF(Currency!$F$15=Currency!$C$33,Currency!C35,IF(Currency!$F$15=Currency!$D$33,Currency!D35,IF(Currency!$F$15=Currency!$E$33,Currency!E35,1))))</f>
        <v>3</v>
      </c>
      <c r="AN112" s="44">
        <f>IF(Unemployment!$F$15=Unemployment!$B$33,Unemployment!B35,IF(Unemployment!$F$15=Unemployment!$C$33,Unemployment!C35,IF(Unemployment!$F$15=Unemployment!$D$33,Unemployment!D35,IF(Unemployment!$F$15=Unemployment!$E$33,Unemployment!E35,1))))</f>
        <v>5</v>
      </c>
      <c r="AO112" s="90">
        <f t="shared" ref="AO112:AO121" si="22">AVERAGE(AG112*0.2222 + AH112*0.1944 + AI112*0.1667 + AJ112*0.1389 + AK112*0.0556 + AL112*0.0556 + AM112*0.0556 + AN112*0.1111)</f>
        <v>3.2781999999999996</v>
      </c>
      <c r="AP112" s="87">
        <f>IF(PMI!$F$12=PMI!$B$43,PMI!$B45,IF(PMI!$F$12=PMI!$C$43,PMI!$C45,IF(PMI!$F$12=PMI!$D$44,PMI!$D45,IF(PMI!$F$12=PMI!$E$43,PMI!$E45,1))))</f>
        <v>2</v>
      </c>
      <c r="AQ112" s="44">
        <f>BNP!J93</f>
        <v>2</v>
      </c>
      <c r="AR112" s="44">
        <f>IF('10 yr rate'!$E$11='10 yr rate'!$B$35,'10 yr rate'!$B37,IF('10 yr rate'!$E$11='10 yr rate'!$C$35,'10 yr rate'!$C37,IF('10 yr rate'!$E$11='10 yr rate'!$D$35,'10 yr rate'!$D37,IF('10 yr rate'!$E$11='10 yr rate'!$E$35,'10 yr rate'!$E37,1))))</f>
        <v>3</v>
      </c>
      <c r="AS112" s="44">
        <f>IF('CPI(Inflation)'!$E$30='CPI(Inflation)'!$B$33,'CPI(Inflation)'!$B35,IF('CPI(Inflation)'!$E$30='CPI(Inflation)'!$C$33,'CPI(Inflation)'!$C35,IF('CPI(Inflation)'!$E$30='CPI(Inflation)'!$D$33,'CPI(Inflation)'!$D35,IF('CPI(Inflation)'!$E$30='CPI(Inflation)'!$E$33,'CPI(Inflation)'!$E35,1))))</f>
        <v>2</v>
      </c>
      <c r="AT112" s="44">
        <f>'Baltic Dry Index'!B35</f>
        <v>5</v>
      </c>
      <c r="AU112" s="44">
        <f>IF(VIX!$F$16=VIX!$B$33,VIX!B35,IF(VIX!$F$16=VIX!$C$33,VIX!C35,IF(VIX!$F$16=VIX!$D$33,VIX!D35,IF(VIX!$F$16=VIX!$E$33,VIX!E35,1))))</f>
        <v>1</v>
      </c>
      <c r="AV112" s="44">
        <f>IF(Currency!$F$16=Currency!$B$33,Currency!B35,IF(Currency!$F$16=Currency!$C$33,Currency!C35,IF(Currency!$F$16=Currency!$D$33,Currency!D35,IF(Currency!$F$16=Currency!$E$33,Currency!E35,1))))</f>
        <v>2</v>
      </c>
      <c r="AW112" s="44">
        <f>IF(Unemployment!$F$16=Unemployment!$B$33,Unemployment!B35,IF(Unemployment!$F$16=Unemployment!$C$33,Unemployment!C35,IF(Unemployment!$F$16=Unemployment!$D$33,Unemployment!D35,IF(Unemployment!$F$16=Unemployment!$E$33,Unemployment!E35,1))))</f>
        <v>5</v>
      </c>
      <c r="AX112" s="90">
        <f t="shared" ref="AX112:AX121" si="23">AVERAGE(AP112*0.2222 + AQ112*0.1944 + AR112*0.1667 + AS112*0.1389 + AT112*0.0556 + AU112*0.0556 + AV112*0.0556 + AW112*0.1111)</f>
        <v>2.6114000000000002</v>
      </c>
    </row>
    <row r="113" spans="2:50" x14ac:dyDescent="0.3">
      <c r="B113" s="53" t="s">
        <v>11</v>
      </c>
      <c r="C113" s="51">
        <f>IF(PMI!$F$5=PMI!$B$43,PMI!$B46,IF(PMI!$F$5=PMI!$C$43,PMI!$C46,IF(PMI!$F$5=PMI!$D$44,PMI!$D46,IF(PMI!$F$5=PMI!$E$43,PMI!$E46,1))))</f>
        <v>5</v>
      </c>
      <c r="D113" s="44">
        <f>BNP!C98</f>
        <v>1</v>
      </c>
      <c r="E113" s="44">
        <f>IF('10 yr rate'!$E$4='10 yr rate'!$B$35,'10 yr rate'!$B38,IF('10 yr rate'!$E$4='10 yr rate'!$C$35,'10 yr rate'!$C38,IF('10 yr rate'!$E$4='10 yr rate'!$D$35,'10 yr rate'!$D38,IF('10 yr rate'!$E$4='10 yr rate'!$E$36,'10 yr rate'!$E38,1))))</f>
        <v>4</v>
      </c>
      <c r="F113" s="44">
        <f>IF('CPI(Inflation)'!$E$23='CPI(Inflation)'!$B$33,'CPI(Inflation)'!$B36,IF('CPI(Inflation)'!$E$23='CPI(Inflation)'!$C$33,'CPI(Inflation)'!$C36,IF('CPI(Inflation)'!$E$23='CPI(Inflation)'!$D$33,'CPI(Inflation)'!$D36,IF('CPI(Inflation)'!$E$23='CPI(Inflation)'!$E$33,'CPI(Inflation)'!$E36,1))))</f>
        <v>2</v>
      </c>
      <c r="G113" s="73">
        <f t="shared" si="16"/>
        <v>3.1</v>
      </c>
      <c r="H113" s="51">
        <f>IF(PMI!$F$6=PMI!$B$43,PMI!$B46,IF(PMI!$F$6=PMI!$C$43,PMI!$C46,IF(PMI!$F$6=PMI!$D$44,PMI!$D46,IF(PMI!$F$6=PMI!$E$43,PMI!$E46,1))))</f>
        <v>5</v>
      </c>
      <c r="I113" s="44">
        <f>BNP!D98</f>
        <v>3</v>
      </c>
      <c r="J113" s="44">
        <f>IF('10 yr rate'!$E$5='10 yr rate'!$B$35,'10 yr rate'!$B38,IF('10 yr rate'!$E$5='10 yr rate'!$C$35,'10 yr rate'!$C38,IF('10 yr rate'!$E$5='10 yr rate'!$D$35,'10 yr rate'!$D38,IF('10 yr rate'!$E$5='10 yr rate'!$E$35,'10 yr rate'!$E38,1))))</f>
        <v>2</v>
      </c>
      <c r="K113" s="44">
        <f>IF('CPI(Inflation)'!$E$24='CPI(Inflation)'!$B$33,'CPI(Inflation)'!$B36,IF('CPI(Inflation)'!$E$24='CPI(Inflation)'!$C$33,'CPI(Inflation)'!$C36,IF('CPI(Inflation)'!$E$24='CPI(Inflation)'!$D$33,'CPI(Inflation)'!$D36,IF('CPI(Inflation)'!$E$24='CPI(Inflation)'!$E$33,'CPI(Inflation)'!$E36,1))))</f>
        <v>2</v>
      </c>
      <c r="L113" s="73">
        <f t="shared" si="17"/>
        <v>3.1</v>
      </c>
      <c r="M113" s="51">
        <f>IF(PMI!$F$7=PMI!$B$43,PMI!$B46,IF(PMI!$F$7=PMI!$C$43,PMI!$C46,IF(PMI!$F$7=PMI!$D$44,PMI!$D46,IF(PMI!$F$7=PMI!$E$43,PMI!$E46,1))))</f>
        <v>5</v>
      </c>
      <c r="N113" s="44">
        <f>BNP!E98</f>
        <v>1</v>
      </c>
      <c r="O113" s="44">
        <f>IF('10 yr rate'!$E$6='10 yr rate'!$B$35,'10 yr rate'!$B38,IF('10 yr rate'!$E$6='10 yr rate'!$C$35,'10 yr rate'!$C38,IF('10 yr rate'!$E$6='10 yr rate'!$D$35,'10 yr rate'!$D38,IF('10 yr rate'!$E$6='10 yr rate'!$E$35,'10 yr rate'!$E38,1))))</f>
        <v>2</v>
      </c>
      <c r="P113" s="44">
        <f>IF('CPI(Inflation)'!$E$25='CPI(Inflation)'!$B$33,'CPI(Inflation)'!$B36,IF('CPI(Inflation)'!$E$25='CPI(Inflation)'!$C$33,'CPI(Inflation)'!$C36,IF('CPI(Inflation)'!$E$25='CPI(Inflation)'!$D$33,'CPI(Inflation)'!$D36,IF('CPI(Inflation)'!$E$25='CPI(Inflation)'!$E$33,'CPI(Inflation)'!$E36,1))))</f>
        <v>2</v>
      </c>
      <c r="Q113" s="73">
        <f t="shared" si="18"/>
        <v>2.7</v>
      </c>
      <c r="R113" s="51">
        <f>IF(PMI!$F$8=PMI!$B$43,PMI!$B46,IF(PMI!$F$8=PMI!$C$43,PMI!$C46,IF(PMI!$F$8=PMI!$D$44,PMI!$D46,IF(PMI!$F$8=PMI!$E$43,PMI!$E46,1))))</f>
        <v>5</v>
      </c>
      <c r="S113" s="44">
        <f>BNP!F98</f>
        <v>1</v>
      </c>
      <c r="T113" s="44">
        <f>IF('10 yr rate'!$E$7='10 yr rate'!$B$35,'10 yr rate'!$B38,IF('10 yr rate'!$E$7='10 yr rate'!$C$35,'10 yr rate'!$C38,IF('10 yr rate'!$E$7='10 yr rate'!$D$35,'10 yr rate'!$D38,IF('10 yr rate'!$E$7='10 yr rate'!$E$35,'10 yr rate'!$E38,1))))</f>
        <v>2</v>
      </c>
      <c r="U113" s="44">
        <f>IF('CPI(Inflation)'!$E$26='CPI(Inflation)'!$B$33,'CPI(Inflation)'!$B36,IF('CPI(Inflation)'!$E$26='CPI(Inflation)'!$C$33,'CPI(Inflation)'!$C36,IF('CPI(Inflation)'!$E$26='CPI(Inflation)'!$D$33,'CPI(Inflation)'!$D36,IF('CPI(Inflation)'!$E$26='CPI(Inflation)'!$E$33,'CPI(Inflation)'!$E36,1))))</f>
        <v>4</v>
      </c>
      <c r="V113" s="73">
        <f t="shared" si="19"/>
        <v>3.3</v>
      </c>
      <c r="W113" s="51">
        <f>IF(PMI!$F$9=PMI!$B$43,PMI!$B46,IF(PMI!$F$9=PMI!$C$43,PMI!$C46,IF(PMI!$F$9=PMI!$D$44,PMI!$D46,IF(PMI!$F$9=PMI!$E$43,PMI!$E46,1))))</f>
        <v>4</v>
      </c>
      <c r="X113" s="44">
        <f>BNP!G98</f>
        <v>3</v>
      </c>
      <c r="Y113" s="44">
        <f>IF('10 yr rate'!$E$8='10 yr rate'!$B$35,'10 yr rate'!$B38,IF('10 yr rate'!$E$8='10 yr rate'!$C$35,'10 yr rate'!$C38,IF('10 yr rate'!$E$8='10 yr rate'!$D$35,'10 yr rate'!$D38,IF('10 yr rate'!$E$8='10 yr rate'!$E$35,'10 yr rate'!$E38,1))))</f>
        <v>2</v>
      </c>
      <c r="Z113" s="44">
        <f>IF('CPI(Inflation)'!$E$27='CPI(Inflation)'!$B$33,'CPI(Inflation)'!$B36,IF('CPI(Inflation)'!$E$27='CPI(Inflation)'!$C$33,'CPI(Inflation)'!$C36,IF('CPI(Inflation)'!$E$27='CPI(Inflation)'!$D$33,'CPI(Inflation)'!$D36,IF('CPI(Inflation)'!$E$27='CPI(Inflation)'!$E$33,'CPI(Inflation)'!$E36,1))))</f>
        <v>4</v>
      </c>
      <c r="AA113" s="73">
        <f t="shared" si="20"/>
        <v>3.4000000000000004</v>
      </c>
      <c r="AB113" s="51">
        <f>IF(PMI!$F$10=PMI!$B$43,PMI!$B46,IF(PMI!$F$10=PMI!$C$43,PMI!$C46,IF(PMI!$F$10=PMI!$D$44,PMI!$D46,IF(PMI!$F$10=PMI!$E$43,PMI!$E46,1))))</f>
        <v>5</v>
      </c>
      <c r="AC113" s="44">
        <f>BNP!H98</f>
        <v>3</v>
      </c>
      <c r="AD113" s="44">
        <f>IF('10 yr rate'!$E$9='10 yr rate'!$B$35,'10 yr rate'!$B38,IF('10 yr rate'!$E$9='10 yr rate'!$C$35,'10 yr rate'!$C38,IF('10 yr rate'!$E$9='10 yr rate'!$D$35,'10 yr rate'!$D38,IF('10 yr rate'!$E$9='10 yr rate'!$E$35,'10 yr rate'!$E38,1))))</f>
        <v>2</v>
      </c>
      <c r="AE113" s="44">
        <f>IF('CPI(Inflation)'!$E$28='CPI(Inflation)'!$B$33,'CPI(Inflation)'!$B36,IF('CPI(Inflation)'!$E$28='CPI(Inflation)'!$C$33,'CPI(Inflation)'!$C36,IF('CPI(Inflation)'!$E$28='CPI(Inflation)'!$D$33,'CPI(Inflation)'!$D36,IF('CPI(Inflation)'!$E$28='CPI(Inflation)'!$E$33,'CPI(Inflation)'!$E36,1))))</f>
        <v>4</v>
      </c>
      <c r="AF113" s="73">
        <f t="shared" si="21"/>
        <v>3.7</v>
      </c>
      <c r="AG113" s="87">
        <f>IF(PMI!$F$11=PMI!$B$43,PMI!$B46,IF(PMI!$F$11=PMI!$C$43,PMI!$C46,IF(PMI!$F$11=PMI!$D$43,PMI!$D46,IF(PMI!$F$11=PMI!$E$43,PMI!$E46,1))))</f>
        <v>4</v>
      </c>
      <c r="AH113" s="44">
        <f>BNP!I98</f>
        <v>1</v>
      </c>
      <c r="AI113" s="44">
        <f>IF('10 yr rate'!$E$10='10 yr rate'!$B$35,'10 yr rate'!$B38,IF('10 yr rate'!$E$10='10 yr rate'!$C$35,'10 yr rate'!$C38,IF('10 yr rate'!$E$10='10 yr rate'!$D$35,'10 yr rate'!$D38,IF('10 yr rate'!$E$10='10 yr rate'!$E$35,'10 yr rate'!$E38,1))))</f>
        <v>2</v>
      </c>
      <c r="AJ113" s="44">
        <f>IF('CPI(Inflation)'!$E$29='CPI(Inflation)'!$B$33,'CPI(Inflation)'!$B36,IF('CPI(Inflation)'!$E$29='CPI(Inflation)'!$C$33,'CPI(Inflation)'!$C36,IF('CPI(Inflation)'!$E$29='CPI(Inflation)'!$D$33,'CPI(Inflation)'!$D36,IF('CPI(Inflation)'!$E$29='CPI(Inflation)'!$E$33,'CPI(Inflation)'!$E36,1))))</f>
        <v>4</v>
      </c>
      <c r="AK113" s="44">
        <f>'Baltic Dry Index'!B36</f>
        <v>5</v>
      </c>
      <c r="AL113" s="44">
        <f>IF(VIX!$F$15=VIX!$B$33,VIX!B36,IF(VIX!$F$15=VIX!$C$33,VIX!C36,IF(VIX!$F$15=VIX!$D$33,VIX!D36,IF(VIX!$F$15=VIX!$E$33,VIX!E36,1))))</f>
        <v>5</v>
      </c>
      <c r="AM113" s="44">
        <f>IF(Currency!$F$15=Currency!$B$33,Currency!B36,IF(Currency!$F$15=Currency!$C$33,Currency!C36,IF(Currency!$F$15=Currency!$D$33,Currency!D36,IF(Currency!$F$15=Currency!$E$33,Currency!E36,1))))</f>
        <v>2</v>
      </c>
      <c r="AN113" s="44">
        <f>IF(Unemployment!$F$15=Unemployment!$B$33,Unemployment!B36,IF(Unemployment!$F$15=Unemployment!$C$33,Unemployment!C36,IF(Unemployment!$F$15=Unemployment!$D$33,Unemployment!D36,IF(Unemployment!$F$15=Unemployment!$E$33,Unemployment!E36,1))))</f>
        <v>5</v>
      </c>
      <c r="AO113" s="90">
        <f t="shared" si="22"/>
        <v>3.1949000000000001</v>
      </c>
      <c r="AP113" s="87">
        <f>IF(PMI!$F$12=PMI!$B$43,PMI!$B46,IF(PMI!$F$12=PMI!$C$43,PMI!$C46,IF(PMI!$F$12=PMI!$D$44,PMI!$D46,IF(PMI!$F$12=PMI!$E$43,PMI!$E46,1))))</f>
        <v>4</v>
      </c>
      <c r="AQ113" s="44">
        <f>BNP!J98</f>
        <v>3</v>
      </c>
      <c r="AR113" s="44">
        <f>IF('10 yr rate'!$E$11='10 yr rate'!$B$35,'10 yr rate'!$B38,IF('10 yr rate'!$E$11='10 yr rate'!$C$35,'10 yr rate'!$C38,IF('10 yr rate'!$E$11='10 yr rate'!$D$35,'10 yr rate'!$D38,IF('10 yr rate'!$E$11='10 yr rate'!$E$35,'10 yr rate'!$E38,1))))</f>
        <v>2</v>
      </c>
      <c r="AS113" s="44">
        <f>IF('CPI(Inflation)'!$E$30='CPI(Inflation)'!$B$33,'CPI(Inflation)'!$B36,IF('CPI(Inflation)'!$E$30='CPI(Inflation)'!$C$33,'CPI(Inflation)'!$C36,IF('CPI(Inflation)'!$E$30='CPI(Inflation)'!$D$33,'CPI(Inflation)'!$D36,IF('CPI(Inflation)'!$E$30='CPI(Inflation)'!$E$33,'CPI(Inflation)'!$E36,1))))</f>
        <v>4</v>
      </c>
      <c r="AT113" s="44">
        <f>'Baltic Dry Index'!B36</f>
        <v>5</v>
      </c>
      <c r="AU113" s="44">
        <f>IF(VIX!$F$16=VIX!$B$33,VIX!B36,IF(VIX!$F$16=VIX!$C$33,VIX!C36,IF(VIX!$F$16=VIX!$D$33,VIX!D36,IF(VIX!$F$16=VIX!$E$33,VIX!E36,1))))</f>
        <v>1</v>
      </c>
      <c r="AV113" s="44">
        <f>IF(Currency!$F$16=Currency!$B$33,Currency!B36,IF(Currency!$F$16=Currency!$C$33,Currency!C36,IF(Currency!$F$16=Currency!$D$33,Currency!D36,IF(Currency!$F$16=Currency!$E$33,Currency!E36,1))))</f>
        <v>4</v>
      </c>
      <c r="AW113" s="44">
        <f>IF(Unemployment!$F$16=Unemployment!$B$33,Unemployment!B36,IF(Unemployment!$F$16=Unemployment!$C$33,Unemployment!C36,IF(Unemployment!$F$16=Unemployment!$D$33,Unemployment!D36,IF(Unemployment!$F$16=Unemployment!$E$33,Unemployment!E36,1))))</f>
        <v>5</v>
      </c>
      <c r="AX113" s="90">
        <f t="shared" si="23"/>
        <v>3.4724999999999997</v>
      </c>
    </row>
    <row r="114" spans="2:50" x14ac:dyDescent="0.3">
      <c r="B114" s="53" t="s">
        <v>12</v>
      </c>
      <c r="C114" s="51">
        <f>IF(PMI!$F$5=PMI!$B$43,PMI!$B47,IF(PMI!$F$5=PMI!$C$43,PMI!$C47,IF(PMI!$F$5=PMI!$D$44,PMI!$D47,IF(PMI!$F$5=PMI!$E$43,PMI!$E47,1))))</f>
        <v>4</v>
      </c>
      <c r="D114" s="44">
        <f>BNP!C103</f>
        <v>2</v>
      </c>
      <c r="E114" s="44">
        <f>IF('10 yr rate'!$E$4='10 yr rate'!$B$35,'10 yr rate'!$B39,IF('10 yr rate'!$E$4='10 yr rate'!$C$35,'10 yr rate'!$C39,IF('10 yr rate'!$E$4='10 yr rate'!$D$35,'10 yr rate'!$D39,IF('10 yr rate'!$E$4='10 yr rate'!$E$36,'10 yr rate'!$E39,1))))</f>
        <v>5</v>
      </c>
      <c r="F114" s="44">
        <f>IF('CPI(Inflation)'!$E$23='CPI(Inflation)'!$B$33,'CPI(Inflation)'!$B37,IF('CPI(Inflation)'!$E$23='CPI(Inflation)'!$C$33,'CPI(Inflation)'!$C37,IF('CPI(Inflation)'!$E$23='CPI(Inflation)'!$D$33,'CPI(Inflation)'!$D37,IF('CPI(Inflation)'!$E$23='CPI(Inflation)'!$E$33,'CPI(Inflation)'!$E37,1))))</f>
        <v>3</v>
      </c>
      <c r="G114" s="73">
        <f t="shared" si="16"/>
        <v>3.5</v>
      </c>
      <c r="H114" s="51">
        <f>IF(PMI!$F$6=PMI!$B$43,PMI!$B47,IF(PMI!$F$6=PMI!$C$43,PMI!$C47,IF(PMI!$F$6=PMI!$D$44,PMI!$D47,IF(PMI!$F$6=PMI!$E$43,PMI!$E47,1))))</f>
        <v>4</v>
      </c>
      <c r="I114" s="44">
        <f>BNP!D103</f>
        <v>4</v>
      </c>
      <c r="J114" s="44">
        <f>IF('10 yr rate'!$E$5='10 yr rate'!$B$35,'10 yr rate'!$B39,IF('10 yr rate'!$E$5='10 yr rate'!$C$35,'10 yr rate'!$C39,IF('10 yr rate'!$E$5='10 yr rate'!$D$35,'10 yr rate'!$D39,IF('10 yr rate'!$E$5='10 yr rate'!$E$35,'10 yr rate'!$E39,1))))</f>
        <v>3</v>
      </c>
      <c r="K114" s="44">
        <f>IF('CPI(Inflation)'!$E$24='CPI(Inflation)'!$B$33,'CPI(Inflation)'!$B37,IF('CPI(Inflation)'!$E$24='CPI(Inflation)'!$C$33,'CPI(Inflation)'!$C37,IF('CPI(Inflation)'!$E$24='CPI(Inflation)'!$D$33,'CPI(Inflation)'!$D37,IF('CPI(Inflation)'!$E$24='CPI(Inflation)'!$E$33,'CPI(Inflation)'!$E37,1))))</f>
        <v>3</v>
      </c>
      <c r="L114" s="73">
        <f t="shared" si="17"/>
        <v>3.5</v>
      </c>
      <c r="M114" s="51">
        <f>IF(PMI!$F$7=PMI!$B$43,PMI!$B47,IF(PMI!$F$7=PMI!$C$43,PMI!$C47,IF(PMI!$F$7=PMI!$D$44,PMI!$D47,IF(PMI!$F$7=PMI!$E$43,PMI!$E47,1))))</f>
        <v>4</v>
      </c>
      <c r="N114" s="44">
        <f>BNP!E103</f>
        <v>2</v>
      </c>
      <c r="O114" s="44">
        <f>IF('10 yr rate'!$E$6='10 yr rate'!$B$35,'10 yr rate'!$B39,IF('10 yr rate'!$E$6='10 yr rate'!$C$35,'10 yr rate'!$C39,IF('10 yr rate'!$E$6='10 yr rate'!$D$35,'10 yr rate'!$D39,IF('10 yr rate'!$E$6='10 yr rate'!$E$35,'10 yr rate'!$E39,1))))</f>
        <v>3</v>
      </c>
      <c r="P114" s="44">
        <f>IF('CPI(Inflation)'!$E$25='CPI(Inflation)'!$B$33,'CPI(Inflation)'!$B37,IF('CPI(Inflation)'!$E$25='CPI(Inflation)'!$C$33,'CPI(Inflation)'!$C37,IF('CPI(Inflation)'!$E$25='CPI(Inflation)'!$D$33,'CPI(Inflation)'!$D37,IF('CPI(Inflation)'!$E$25='CPI(Inflation)'!$E$33,'CPI(Inflation)'!$E37,1))))</f>
        <v>3</v>
      </c>
      <c r="Q114" s="73">
        <f t="shared" si="18"/>
        <v>3.1</v>
      </c>
      <c r="R114" s="51">
        <f>IF(PMI!$F$8=PMI!$B$43,PMI!$B47,IF(PMI!$F$8=PMI!$C$43,PMI!$C47,IF(PMI!$F$8=PMI!$D$44,PMI!$D47,IF(PMI!$F$8=PMI!$E$43,PMI!$E47,1))))</f>
        <v>4</v>
      </c>
      <c r="S114" s="44">
        <f>BNP!F103</f>
        <v>2</v>
      </c>
      <c r="T114" s="44">
        <f>IF('10 yr rate'!$E$7='10 yr rate'!$B$35,'10 yr rate'!$B39,IF('10 yr rate'!$E$7='10 yr rate'!$C$35,'10 yr rate'!$C39,IF('10 yr rate'!$E$7='10 yr rate'!$D$35,'10 yr rate'!$D39,IF('10 yr rate'!$E$7='10 yr rate'!$E$35,'10 yr rate'!$E39,1))))</f>
        <v>3</v>
      </c>
      <c r="U114" s="44">
        <f>IF('CPI(Inflation)'!$E$26='CPI(Inflation)'!$B$33,'CPI(Inflation)'!$B37,IF('CPI(Inflation)'!$E$26='CPI(Inflation)'!$C$33,'CPI(Inflation)'!$C37,IF('CPI(Inflation)'!$E$26='CPI(Inflation)'!$D$33,'CPI(Inflation)'!$D37,IF('CPI(Inflation)'!$E$26='CPI(Inflation)'!$E$33,'CPI(Inflation)'!$E37,1))))</f>
        <v>5</v>
      </c>
      <c r="V114" s="73">
        <f t="shared" si="19"/>
        <v>3.7</v>
      </c>
      <c r="W114" s="51">
        <f>IF(PMI!$F$9=PMI!$B$43,PMI!$B47,IF(PMI!$F$9=PMI!$C$43,PMI!$C47,IF(PMI!$F$9=PMI!$D$44,PMI!$D47,IF(PMI!$F$9=PMI!$E$43,PMI!$E47,1))))</f>
        <v>5</v>
      </c>
      <c r="X114" s="44">
        <f>BNP!G103</f>
        <v>1</v>
      </c>
      <c r="Y114" s="44">
        <f>IF('10 yr rate'!$E$8='10 yr rate'!$B$35,'10 yr rate'!$B39,IF('10 yr rate'!$E$8='10 yr rate'!$C$35,'10 yr rate'!$C39,IF('10 yr rate'!$E$8='10 yr rate'!$D$35,'10 yr rate'!$D39,IF('10 yr rate'!$E$8='10 yr rate'!$E$35,'10 yr rate'!$E39,1))))</f>
        <v>3</v>
      </c>
      <c r="Z114" s="44">
        <f>IF('CPI(Inflation)'!$E$27='CPI(Inflation)'!$B$33,'CPI(Inflation)'!$B37,IF('CPI(Inflation)'!$E$27='CPI(Inflation)'!$C$33,'CPI(Inflation)'!$C37,IF('CPI(Inflation)'!$E$27='CPI(Inflation)'!$D$33,'CPI(Inflation)'!$D37,IF('CPI(Inflation)'!$E$27='CPI(Inflation)'!$E$33,'CPI(Inflation)'!$E37,1))))</f>
        <v>5</v>
      </c>
      <c r="AA114" s="73">
        <f t="shared" si="20"/>
        <v>3.8</v>
      </c>
      <c r="AB114" s="51">
        <f>IF(PMI!$F$10=PMI!$B$43,PMI!$B47,IF(PMI!$F$10=PMI!$C$43,PMI!$C47,IF(PMI!$F$10=PMI!$D$44,PMI!$D47,IF(PMI!$F$10=PMI!$E$43,PMI!$E47,1))))</f>
        <v>4</v>
      </c>
      <c r="AC114" s="44">
        <f>BNP!H103</f>
        <v>4</v>
      </c>
      <c r="AD114" s="44">
        <f>IF('10 yr rate'!$E$9='10 yr rate'!$B$35,'10 yr rate'!$B39,IF('10 yr rate'!$E$9='10 yr rate'!$C$35,'10 yr rate'!$C39,IF('10 yr rate'!$E$9='10 yr rate'!$D$35,'10 yr rate'!$D39,IF('10 yr rate'!$E$9='10 yr rate'!$E$35,'10 yr rate'!$E39,1))))</f>
        <v>3</v>
      </c>
      <c r="AE114" s="44">
        <f>IF('CPI(Inflation)'!$E$28='CPI(Inflation)'!$B$33,'CPI(Inflation)'!$B37,IF('CPI(Inflation)'!$E$28='CPI(Inflation)'!$C$33,'CPI(Inflation)'!$C37,IF('CPI(Inflation)'!$E$28='CPI(Inflation)'!$D$33,'CPI(Inflation)'!$D37,IF('CPI(Inflation)'!$E$28='CPI(Inflation)'!$E$33,'CPI(Inflation)'!$E37,1))))</f>
        <v>5</v>
      </c>
      <c r="AF114" s="73">
        <f t="shared" si="21"/>
        <v>4.0999999999999996</v>
      </c>
      <c r="AG114" s="87">
        <f>IF(PMI!$F$11=PMI!$B$43,PMI!$B47,IF(PMI!$F$11=PMI!$C$43,PMI!$C47,IF(PMI!$F$11=PMI!$D$43,PMI!$D47,IF(PMI!$F$11=PMI!$E$43,PMI!$E47,1))))</f>
        <v>5</v>
      </c>
      <c r="AH114" s="44">
        <f>BNP!I103</f>
        <v>2</v>
      </c>
      <c r="AI114" s="44">
        <f>IF('10 yr rate'!$E$10='10 yr rate'!$B$35,'10 yr rate'!$B39,IF('10 yr rate'!$E$10='10 yr rate'!$C$35,'10 yr rate'!$C39,IF('10 yr rate'!$E$10='10 yr rate'!$D$35,'10 yr rate'!$D39,IF('10 yr rate'!$E$10='10 yr rate'!$E$35,'10 yr rate'!$E39,1))))</f>
        <v>3</v>
      </c>
      <c r="AJ114" s="44">
        <f>IF('CPI(Inflation)'!$E$29='CPI(Inflation)'!$B$33,'CPI(Inflation)'!$B37,IF('CPI(Inflation)'!$E$29='CPI(Inflation)'!$C$33,'CPI(Inflation)'!$C37,IF('CPI(Inflation)'!$E$29='CPI(Inflation)'!$D$33,'CPI(Inflation)'!$D37,IF('CPI(Inflation)'!$E$29='CPI(Inflation)'!$E$33,'CPI(Inflation)'!$E37,1))))</f>
        <v>5</v>
      </c>
      <c r="AK114" s="44">
        <f>'Baltic Dry Index'!B37</f>
        <v>4</v>
      </c>
      <c r="AL114" s="44">
        <f>IF(VIX!$F$15=VIX!$B$33,VIX!B37,IF(VIX!$F$15=VIX!$C$33,VIX!C37,IF(VIX!$F$15=VIX!$D$33,VIX!D37,IF(VIX!$F$15=VIX!$E$33,VIX!E37,1))))</f>
        <v>4</v>
      </c>
      <c r="AM114" s="44">
        <f>IF(Currency!$F$15=Currency!$B$33,Currency!B37,IF(Currency!$F$15=Currency!$C$33,Currency!C37,IF(Currency!$F$15=Currency!$D$33,Currency!D37,IF(Currency!$F$15=Currency!$E$33,Currency!E37,1))))</f>
        <v>3</v>
      </c>
      <c r="AN114" s="44">
        <f>IF(Unemployment!$F$15=Unemployment!$B$33,Unemployment!B37,IF(Unemployment!$F$15=Unemployment!$C$33,Unemployment!C37,IF(Unemployment!$F$15=Unemployment!$D$33,Unemployment!D37,IF(Unemployment!$F$15=Unemployment!$E$33,Unemployment!E37,1))))</f>
        <v>4</v>
      </c>
      <c r="AO114" s="90">
        <f t="shared" si="22"/>
        <v>3.7503999999999995</v>
      </c>
      <c r="AP114" s="87">
        <f>IF(PMI!$F$12=PMI!$B$43,PMI!$B47,IF(PMI!$F$12=PMI!$C$43,PMI!$C47,IF(PMI!$F$12=PMI!$D$44,PMI!$D47,IF(PMI!$F$12=PMI!$E$43,PMI!$E47,1))))</f>
        <v>5</v>
      </c>
      <c r="AQ114" s="44">
        <f>BNP!J103</f>
        <v>4</v>
      </c>
      <c r="AR114" s="44">
        <f>IF('10 yr rate'!$E$11='10 yr rate'!$B$35,'10 yr rate'!$B39,IF('10 yr rate'!$E$11='10 yr rate'!$C$35,'10 yr rate'!$C39,IF('10 yr rate'!$E$11='10 yr rate'!$D$35,'10 yr rate'!$D39,IF('10 yr rate'!$E$11='10 yr rate'!$E$35,'10 yr rate'!$E39,1))))</f>
        <v>3</v>
      </c>
      <c r="AS114" s="44">
        <f>IF('CPI(Inflation)'!$E$30='CPI(Inflation)'!$B$33,'CPI(Inflation)'!$B37,IF('CPI(Inflation)'!$E$30='CPI(Inflation)'!$C$33,'CPI(Inflation)'!$C37,IF('CPI(Inflation)'!$E$30='CPI(Inflation)'!$D$33,'CPI(Inflation)'!$D37,IF('CPI(Inflation)'!$E$30='CPI(Inflation)'!$E$33,'CPI(Inflation)'!$E37,1))))</f>
        <v>5</v>
      </c>
      <c r="AT114" s="44">
        <f>'Baltic Dry Index'!B37</f>
        <v>4</v>
      </c>
      <c r="AU114" s="44">
        <f>IF(VIX!$F$16=VIX!$B$33,VIX!B37,IF(VIX!$F$16=VIX!$C$33,VIX!C37,IF(VIX!$F$16=VIX!$D$33,VIX!D37,IF(VIX!$F$16=VIX!$E$33,VIX!E37,1))))</f>
        <v>1</v>
      </c>
      <c r="AV114" s="44">
        <f>IF(Currency!$F$16=Currency!$B$33,Currency!B37,IF(Currency!$F$16=Currency!$C$33,Currency!C37,IF(Currency!$F$16=Currency!$D$33,Currency!D37,IF(Currency!$F$16=Currency!$E$33,Currency!E37,1))))</f>
        <v>5</v>
      </c>
      <c r="AW114" s="44">
        <f>IF(Unemployment!$F$16=Unemployment!$B$33,Unemployment!B37,IF(Unemployment!$F$16=Unemployment!$C$33,Unemployment!C37,IF(Unemployment!$F$16=Unemployment!$D$33,Unemployment!D37,IF(Unemployment!$F$16=Unemployment!$E$33,Unemployment!E37,1))))</f>
        <v>4</v>
      </c>
      <c r="AX114" s="90">
        <f t="shared" si="23"/>
        <v>4.0836000000000006</v>
      </c>
    </row>
    <row r="115" spans="2:50" x14ac:dyDescent="0.3">
      <c r="B115" s="53" t="s">
        <v>13</v>
      </c>
      <c r="C115" s="51">
        <f>IF(PMI!$F$5=PMI!$B$43,PMI!$B48,IF(PMI!$F$5=PMI!$C$43,PMI!$C48,IF(PMI!$F$5=PMI!$D$44,PMI!$D48,IF(PMI!$F$5=PMI!$E$43,PMI!$E48,1))))</f>
        <v>5</v>
      </c>
      <c r="D115" s="44">
        <f>BNP!C108</f>
        <v>3</v>
      </c>
      <c r="E115" s="44">
        <f>IF('10 yr rate'!$E$4='10 yr rate'!$B$35,'10 yr rate'!$B40,IF('10 yr rate'!$E$4='10 yr rate'!$C$35,'10 yr rate'!$C40,IF('10 yr rate'!$E$4='10 yr rate'!$D$35,'10 yr rate'!$D40,IF('10 yr rate'!$E$4='10 yr rate'!$E$36,'10 yr rate'!$E40,1))))</f>
        <v>4</v>
      </c>
      <c r="F115" s="44">
        <f>IF('CPI(Inflation)'!$E$23='CPI(Inflation)'!$B$33,'CPI(Inflation)'!$B38,IF('CPI(Inflation)'!$E$23='CPI(Inflation)'!$C$33,'CPI(Inflation)'!$C38,IF('CPI(Inflation)'!$E$23='CPI(Inflation)'!$D$33,'CPI(Inflation)'!$D38,IF('CPI(Inflation)'!$E$23='CPI(Inflation)'!$E$33,'CPI(Inflation)'!$E38,1))))</f>
        <v>2</v>
      </c>
      <c r="G115" s="73">
        <f t="shared" si="16"/>
        <v>3.5000000000000004</v>
      </c>
      <c r="H115" s="51">
        <f>IF(PMI!$F$6=PMI!$B$43,PMI!$B48,IF(PMI!$F$6=PMI!$C$43,PMI!$C48,IF(PMI!$F$6=PMI!$D$44,PMI!$D48,IF(PMI!$F$6=PMI!$E$43,PMI!$E48,1))))</f>
        <v>5</v>
      </c>
      <c r="I115" s="44">
        <f>BNP!D108</f>
        <v>3</v>
      </c>
      <c r="J115" s="44">
        <f>IF('10 yr rate'!$E$5='10 yr rate'!$B$35,'10 yr rate'!$B40,IF('10 yr rate'!$E$5='10 yr rate'!$C$35,'10 yr rate'!$C40,IF('10 yr rate'!$E$5='10 yr rate'!$D$35,'10 yr rate'!$D40,IF('10 yr rate'!$E$5='10 yr rate'!$E$35,'10 yr rate'!$E40,1))))</f>
        <v>2</v>
      </c>
      <c r="K115" s="44">
        <f>IF('CPI(Inflation)'!$E$24='CPI(Inflation)'!$B$33,'CPI(Inflation)'!$B38,IF('CPI(Inflation)'!$E$24='CPI(Inflation)'!$C$33,'CPI(Inflation)'!$C38,IF('CPI(Inflation)'!$E$24='CPI(Inflation)'!$D$33,'CPI(Inflation)'!$D38,IF('CPI(Inflation)'!$E$24='CPI(Inflation)'!$E$33,'CPI(Inflation)'!$E38,1))))</f>
        <v>2</v>
      </c>
      <c r="L115" s="73">
        <f t="shared" si="17"/>
        <v>3.1</v>
      </c>
      <c r="M115" s="51">
        <f>IF(PMI!$F$7=PMI!$B$43,PMI!$B48,IF(PMI!$F$7=PMI!$C$43,PMI!$C48,IF(PMI!$F$7=PMI!$D$44,PMI!$D48,IF(PMI!$F$7=PMI!$E$43,PMI!$E48,1))))</f>
        <v>5</v>
      </c>
      <c r="N115" s="44">
        <f>BNP!E108</f>
        <v>3</v>
      </c>
      <c r="O115" s="44">
        <f>IF('10 yr rate'!$E$6='10 yr rate'!$B$35,'10 yr rate'!$B40,IF('10 yr rate'!$E$6='10 yr rate'!$C$35,'10 yr rate'!$C40,IF('10 yr rate'!$E$6='10 yr rate'!$D$35,'10 yr rate'!$D40,IF('10 yr rate'!$E$6='10 yr rate'!$E$35,'10 yr rate'!$E40,1))))</f>
        <v>2</v>
      </c>
      <c r="P115" s="44">
        <f>IF('CPI(Inflation)'!$E$25='CPI(Inflation)'!$B$33,'CPI(Inflation)'!$B38,IF('CPI(Inflation)'!$E$25='CPI(Inflation)'!$C$33,'CPI(Inflation)'!$C38,IF('CPI(Inflation)'!$E$25='CPI(Inflation)'!$D$33,'CPI(Inflation)'!$D38,IF('CPI(Inflation)'!$E$25='CPI(Inflation)'!$E$33,'CPI(Inflation)'!$E38,1))))</f>
        <v>2</v>
      </c>
      <c r="Q115" s="73">
        <f t="shared" si="18"/>
        <v>3.1</v>
      </c>
      <c r="R115" s="51">
        <f>IF(PMI!$F$8=PMI!$B$43,PMI!$B48,IF(PMI!$F$8=PMI!$C$43,PMI!$C48,IF(PMI!$F$8=PMI!$D$44,PMI!$D48,IF(PMI!$F$8=PMI!$E$43,PMI!$E48,1))))</f>
        <v>5</v>
      </c>
      <c r="S115" s="44">
        <f>BNP!F108</f>
        <v>3</v>
      </c>
      <c r="T115" s="44">
        <f>IF('10 yr rate'!$E$7='10 yr rate'!$B$35,'10 yr rate'!$B40,IF('10 yr rate'!$E$7='10 yr rate'!$C$35,'10 yr rate'!$C40,IF('10 yr rate'!$E$7='10 yr rate'!$D$35,'10 yr rate'!$D40,IF('10 yr rate'!$E$7='10 yr rate'!$E$35,'10 yr rate'!$E40,1))))</f>
        <v>2</v>
      </c>
      <c r="U115" s="44">
        <f>IF('CPI(Inflation)'!$E$26='CPI(Inflation)'!$B$33,'CPI(Inflation)'!$B38,IF('CPI(Inflation)'!$E$26='CPI(Inflation)'!$C$33,'CPI(Inflation)'!$C38,IF('CPI(Inflation)'!$E$26='CPI(Inflation)'!$D$33,'CPI(Inflation)'!$D38,IF('CPI(Inflation)'!$E$26='CPI(Inflation)'!$E$33,'CPI(Inflation)'!$E38,1))))</f>
        <v>4</v>
      </c>
      <c r="V115" s="73">
        <f t="shared" si="19"/>
        <v>3.7</v>
      </c>
      <c r="W115" s="51">
        <f>IF(PMI!$F$9=PMI!$B$43,PMI!$B48,IF(PMI!$F$9=PMI!$C$43,PMI!$C48,IF(PMI!$F$9=PMI!$D$44,PMI!$D48,IF(PMI!$F$9=PMI!$E$43,PMI!$E48,1))))</f>
        <v>4</v>
      </c>
      <c r="X115" s="44">
        <f>BNP!G108</f>
        <v>1</v>
      </c>
      <c r="Y115" s="44">
        <f>IF('10 yr rate'!$E$8='10 yr rate'!$B$35,'10 yr rate'!$B40,IF('10 yr rate'!$E$8='10 yr rate'!$C$35,'10 yr rate'!$C40,IF('10 yr rate'!$E$8='10 yr rate'!$D$35,'10 yr rate'!$D40,IF('10 yr rate'!$E$8='10 yr rate'!$E$35,'10 yr rate'!$E40,1))))</f>
        <v>2</v>
      </c>
      <c r="Z115" s="44">
        <f>IF('CPI(Inflation)'!$E$27='CPI(Inflation)'!$B$33,'CPI(Inflation)'!$B38,IF('CPI(Inflation)'!$E$27='CPI(Inflation)'!$C$33,'CPI(Inflation)'!$C38,IF('CPI(Inflation)'!$E$27='CPI(Inflation)'!$D$33,'CPI(Inflation)'!$D38,IF('CPI(Inflation)'!$E$27='CPI(Inflation)'!$E$33,'CPI(Inflation)'!$E38,1))))</f>
        <v>4</v>
      </c>
      <c r="AA115" s="73">
        <f t="shared" si="20"/>
        <v>3</v>
      </c>
      <c r="AB115" s="51">
        <f>IF(PMI!$F$10=PMI!$B$43,PMI!$B48,IF(PMI!$F$10=PMI!$C$43,PMI!$C48,IF(PMI!$F$10=PMI!$D$44,PMI!$D48,IF(PMI!$F$10=PMI!$E$43,PMI!$E48,1))))</f>
        <v>5</v>
      </c>
      <c r="AC115" s="44">
        <f>BNP!H108</f>
        <v>3</v>
      </c>
      <c r="AD115" s="44">
        <f>IF('10 yr rate'!$E$9='10 yr rate'!$B$35,'10 yr rate'!$B40,IF('10 yr rate'!$E$9='10 yr rate'!$C$35,'10 yr rate'!$C40,IF('10 yr rate'!$E$9='10 yr rate'!$D$35,'10 yr rate'!$D40,IF('10 yr rate'!$E$9='10 yr rate'!$E$35,'10 yr rate'!$E40,1))))</f>
        <v>2</v>
      </c>
      <c r="AE115" s="44">
        <f>IF('CPI(Inflation)'!$E$28='CPI(Inflation)'!$B$33,'CPI(Inflation)'!$B38,IF('CPI(Inflation)'!$E$28='CPI(Inflation)'!$C$33,'CPI(Inflation)'!$C38,IF('CPI(Inflation)'!$E$28='CPI(Inflation)'!$D$33,'CPI(Inflation)'!$D38,IF('CPI(Inflation)'!$E$28='CPI(Inflation)'!$E$33,'CPI(Inflation)'!$E38,1))))</f>
        <v>4</v>
      </c>
      <c r="AF115" s="73">
        <f t="shared" si="21"/>
        <v>3.7</v>
      </c>
      <c r="AG115" s="87">
        <f>IF(PMI!$F$11=PMI!$B$43,PMI!$B48,IF(PMI!$F$11=PMI!$C$43,PMI!$C48,IF(PMI!$F$11=PMI!$D$43,PMI!$D48,IF(PMI!$F$11=PMI!$E$43,PMI!$E48,1))))</f>
        <v>4</v>
      </c>
      <c r="AH115" s="44">
        <f>BNP!I108</f>
        <v>3</v>
      </c>
      <c r="AI115" s="44">
        <f>IF('10 yr rate'!$E$10='10 yr rate'!$B$35,'10 yr rate'!$B40,IF('10 yr rate'!$E$10='10 yr rate'!$C$35,'10 yr rate'!$C40,IF('10 yr rate'!$E$10='10 yr rate'!$D$35,'10 yr rate'!$D40,IF('10 yr rate'!$E$10='10 yr rate'!$E$35,'10 yr rate'!$E40,1))))</f>
        <v>2</v>
      </c>
      <c r="AJ115" s="44">
        <f>IF('CPI(Inflation)'!$E$29='CPI(Inflation)'!$B$33,'CPI(Inflation)'!$B38,IF('CPI(Inflation)'!$E$29='CPI(Inflation)'!$C$33,'CPI(Inflation)'!$C38,IF('CPI(Inflation)'!$E$29='CPI(Inflation)'!$D$33,'CPI(Inflation)'!$D38,IF('CPI(Inflation)'!$E$29='CPI(Inflation)'!$E$33,'CPI(Inflation)'!$E38,1))))</f>
        <v>4</v>
      </c>
      <c r="AK115" s="44">
        <f>'Baltic Dry Index'!B38</f>
        <v>5</v>
      </c>
      <c r="AL115" s="44">
        <f>IF(VIX!$F$15=VIX!$B$33,VIX!B38,IF(VIX!$F$15=VIX!$C$33,VIX!C38,IF(VIX!$F$15=VIX!$D$33,VIX!D38,IF(VIX!$F$15=VIX!$E$33,VIX!E38,1))))</f>
        <v>5</v>
      </c>
      <c r="AM115" s="44">
        <f>IF(Currency!$F$15=Currency!$B$33,Currency!B38,IF(Currency!$F$15=Currency!$C$33,Currency!C38,IF(Currency!$F$15=Currency!$D$33,Currency!D38,IF(Currency!$F$15=Currency!$E$33,Currency!E38,1))))</f>
        <v>2</v>
      </c>
      <c r="AN115" s="44">
        <f>IF(Unemployment!$F$15=Unemployment!$B$33,Unemployment!B38,IF(Unemployment!$F$15=Unemployment!$C$33,Unemployment!C38,IF(Unemployment!$F$15=Unemployment!$D$33,Unemployment!D38,IF(Unemployment!$F$15=Unemployment!$E$33,Unemployment!E38,1))))</f>
        <v>5</v>
      </c>
      <c r="AO115" s="90">
        <f t="shared" si="22"/>
        <v>3.5836999999999999</v>
      </c>
      <c r="AP115" s="87">
        <f>IF(PMI!$F$12=PMI!$B$43,PMI!$B48,IF(PMI!$F$12=PMI!$C$43,PMI!$C48,IF(PMI!$F$12=PMI!$D$44,PMI!$D48,IF(PMI!$F$12=PMI!$E$43,PMI!$E48,1))))</f>
        <v>4</v>
      </c>
      <c r="AQ115" s="44">
        <f>BNP!J108</f>
        <v>3</v>
      </c>
      <c r="AR115" s="44">
        <f>IF('10 yr rate'!$E$11='10 yr rate'!$B$35,'10 yr rate'!$B40,IF('10 yr rate'!$E$11='10 yr rate'!$C$35,'10 yr rate'!$C40,IF('10 yr rate'!$E$11='10 yr rate'!$D$35,'10 yr rate'!$D40,IF('10 yr rate'!$E$11='10 yr rate'!$E$35,'10 yr rate'!$E40,1))))</f>
        <v>2</v>
      </c>
      <c r="AS115" s="44">
        <f>IF('CPI(Inflation)'!$E$30='CPI(Inflation)'!$B$33,'CPI(Inflation)'!$B38,IF('CPI(Inflation)'!$E$30='CPI(Inflation)'!$C$33,'CPI(Inflation)'!$C38,IF('CPI(Inflation)'!$E$30='CPI(Inflation)'!$D$33,'CPI(Inflation)'!$D38,IF('CPI(Inflation)'!$E$30='CPI(Inflation)'!$E$33,'CPI(Inflation)'!$E38,1))))</f>
        <v>4</v>
      </c>
      <c r="AT115" s="44">
        <f>'Baltic Dry Index'!B38</f>
        <v>5</v>
      </c>
      <c r="AU115" s="44">
        <f>IF(VIX!$F$16=VIX!$B$33,VIX!B38,IF(VIX!$F$16=VIX!$C$33,VIX!C38,IF(VIX!$F$16=VIX!$D$33,VIX!D38,IF(VIX!$F$16=VIX!$E$33,VIX!E38,1))))</f>
        <v>1</v>
      </c>
      <c r="AV115" s="44">
        <f>IF(Currency!$F$16=Currency!$B$33,Currency!B38,IF(Currency!$F$16=Currency!$C$33,Currency!C38,IF(Currency!$F$16=Currency!$D$33,Currency!D38,IF(Currency!$F$16=Currency!$E$33,Currency!E38,1))))</f>
        <v>4</v>
      </c>
      <c r="AW115" s="44">
        <f>IF(Unemployment!$F$16=Unemployment!$B$33,Unemployment!B38,IF(Unemployment!$F$16=Unemployment!$C$33,Unemployment!C38,IF(Unemployment!$F$16=Unemployment!$D$33,Unemployment!D38,IF(Unemployment!$F$16=Unemployment!$E$33,Unemployment!E38,1))))</f>
        <v>5</v>
      </c>
      <c r="AX115" s="90">
        <f t="shared" si="23"/>
        <v>3.4724999999999997</v>
      </c>
    </row>
    <row r="116" spans="2:50" x14ac:dyDescent="0.3">
      <c r="B116" s="53" t="s">
        <v>14</v>
      </c>
      <c r="C116" s="51">
        <f>IF(PMI!$F$5=PMI!$B$43,PMI!$B49,IF(PMI!$F$5=PMI!$C$43,PMI!$C49,IF(PMI!$F$5=PMI!$D$44,PMI!$D49,IF(PMI!$F$5=PMI!$E$43,PMI!$E49,1))))</f>
        <v>4</v>
      </c>
      <c r="D116" s="44">
        <f>BNP!C113</f>
        <v>3</v>
      </c>
      <c r="E116" s="44">
        <f>IF('10 yr rate'!$E$4='10 yr rate'!$B$35,'10 yr rate'!$B41,IF('10 yr rate'!$E$4='10 yr rate'!$C$35,'10 yr rate'!$C41,IF('10 yr rate'!$E$4='10 yr rate'!$D$35,'10 yr rate'!$D41,IF('10 yr rate'!$E$4='10 yr rate'!$E$36,'10 yr rate'!$E41,1))))</f>
        <v>2</v>
      </c>
      <c r="F116" s="44">
        <f>IF('CPI(Inflation)'!$E$23='CPI(Inflation)'!$B$33,'CPI(Inflation)'!$B39,IF('CPI(Inflation)'!$E$23='CPI(Inflation)'!$C$33,'CPI(Inflation)'!$C39,IF('CPI(Inflation)'!$E$23='CPI(Inflation)'!$D$33,'CPI(Inflation)'!$D39,IF('CPI(Inflation)'!$E$23='CPI(Inflation)'!$E$33,'CPI(Inflation)'!$E39,1))))</f>
        <v>3</v>
      </c>
      <c r="G116" s="73">
        <f t="shared" si="16"/>
        <v>3.1</v>
      </c>
      <c r="H116" s="51">
        <f>IF(PMI!$F$6=PMI!$B$43,PMI!$B49,IF(PMI!$F$6=PMI!$C$43,PMI!$C49,IF(PMI!$F$6=PMI!$D$44,PMI!$D49,IF(PMI!$F$6=PMI!$E$43,PMI!$E49,1))))</f>
        <v>4</v>
      </c>
      <c r="I116" s="44">
        <f>BNP!D113</f>
        <v>1</v>
      </c>
      <c r="J116" s="44">
        <f>IF('10 yr rate'!$E$5='10 yr rate'!$B$35,'10 yr rate'!$B41,IF('10 yr rate'!$E$5='10 yr rate'!$C$35,'10 yr rate'!$C41,IF('10 yr rate'!$E$5='10 yr rate'!$D$35,'10 yr rate'!$D41,IF('10 yr rate'!$E$5='10 yr rate'!$E$35,'10 yr rate'!$E41,1))))</f>
        <v>3</v>
      </c>
      <c r="K116" s="44">
        <f>IF('CPI(Inflation)'!$E$24='CPI(Inflation)'!$B$33,'CPI(Inflation)'!$B39,IF('CPI(Inflation)'!$E$24='CPI(Inflation)'!$C$33,'CPI(Inflation)'!$C39,IF('CPI(Inflation)'!$E$24='CPI(Inflation)'!$D$33,'CPI(Inflation)'!$D39,IF('CPI(Inflation)'!$E$24='CPI(Inflation)'!$E$33,'CPI(Inflation)'!$E39,1))))</f>
        <v>3</v>
      </c>
      <c r="L116" s="73">
        <f t="shared" si="17"/>
        <v>2.9</v>
      </c>
      <c r="M116" s="51">
        <f>IF(PMI!$F$7=PMI!$B$43,PMI!$B49,IF(PMI!$F$7=PMI!$C$43,PMI!$C49,IF(PMI!$F$7=PMI!$D$44,PMI!$D49,IF(PMI!$F$7=PMI!$E$43,PMI!$E49,1))))</f>
        <v>4</v>
      </c>
      <c r="N116" s="44">
        <f>BNP!E113</f>
        <v>3</v>
      </c>
      <c r="O116" s="44">
        <f>IF('10 yr rate'!$E$6='10 yr rate'!$B$35,'10 yr rate'!$B41,IF('10 yr rate'!$E$6='10 yr rate'!$C$35,'10 yr rate'!$C41,IF('10 yr rate'!$E$6='10 yr rate'!$D$35,'10 yr rate'!$D41,IF('10 yr rate'!$E$6='10 yr rate'!$E$35,'10 yr rate'!$E41,1))))</f>
        <v>3</v>
      </c>
      <c r="P116" s="44">
        <f>IF('CPI(Inflation)'!$E$25='CPI(Inflation)'!$B$33,'CPI(Inflation)'!$B39,IF('CPI(Inflation)'!$E$25='CPI(Inflation)'!$C$33,'CPI(Inflation)'!$C39,IF('CPI(Inflation)'!$E$25='CPI(Inflation)'!$D$33,'CPI(Inflation)'!$D39,IF('CPI(Inflation)'!$E$25='CPI(Inflation)'!$E$33,'CPI(Inflation)'!$E39,1))))</f>
        <v>3</v>
      </c>
      <c r="Q116" s="73">
        <f t="shared" si="18"/>
        <v>3.3000000000000003</v>
      </c>
      <c r="R116" s="51">
        <f>IF(PMI!$F$8=PMI!$B$43,PMI!$B49,IF(PMI!$F$8=PMI!$C$43,PMI!$C49,IF(PMI!$F$8=PMI!$D$44,PMI!$D49,IF(PMI!$F$8=PMI!$E$43,PMI!$E49,1))))</f>
        <v>4</v>
      </c>
      <c r="S116" s="44">
        <f>BNP!F113</f>
        <v>3</v>
      </c>
      <c r="T116" s="44">
        <f>IF('10 yr rate'!$E$7='10 yr rate'!$B$35,'10 yr rate'!$B41,IF('10 yr rate'!$E$7='10 yr rate'!$C$35,'10 yr rate'!$C41,IF('10 yr rate'!$E$7='10 yr rate'!$D$35,'10 yr rate'!$D41,IF('10 yr rate'!$E$7='10 yr rate'!$E$35,'10 yr rate'!$E41,1))))</f>
        <v>3</v>
      </c>
      <c r="U116" s="44">
        <f>IF('CPI(Inflation)'!$E$26='CPI(Inflation)'!$B$33,'CPI(Inflation)'!$B39,IF('CPI(Inflation)'!$E$26='CPI(Inflation)'!$C$33,'CPI(Inflation)'!$C39,IF('CPI(Inflation)'!$E$26='CPI(Inflation)'!$D$33,'CPI(Inflation)'!$D39,IF('CPI(Inflation)'!$E$26='CPI(Inflation)'!$E$33,'CPI(Inflation)'!$E39,1))))</f>
        <v>2</v>
      </c>
      <c r="V116" s="73">
        <f t="shared" si="19"/>
        <v>3.0000000000000004</v>
      </c>
      <c r="W116" s="51">
        <f>IF(PMI!$F$9=PMI!$B$43,PMI!$B49,IF(PMI!$F$9=PMI!$C$43,PMI!$C49,IF(PMI!$F$9=PMI!$D$44,PMI!$D49,IF(PMI!$F$9=PMI!$E$43,PMI!$E49,1))))</f>
        <v>2</v>
      </c>
      <c r="X116" s="44">
        <f>BNP!G113</f>
        <v>2</v>
      </c>
      <c r="Y116" s="44">
        <f>IF('10 yr rate'!$E$8='10 yr rate'!$B$35,'10 yr rate'!$B41,IF('10 yr rate'!$E$8='10 yr rate'!$C$35,'10 yr rate'!$C41,IF('10 yr rate'!$E$8='10 yr rate'!$D$35,'10 yr rate'!$D41,IF('10 yr rate'!$E$8='10 yr rate'!$E$35,'10 yr rate'!$E41,1))))</f>
        <v>3</v>
      </c>
      <c r="Z116" s="44">
        <f>IF('CPI(Inflation)'!$E$27='CPI(Inflation)'!$B$33,'CPI(Inflation)'!$B39,IF('CPI(Inflation)'!$E$27='CPI(Inflation)'!$C$33,'CPI(Inflation)'!$C39,IF('CPI(Inflation)'!$E$27='CPI(Inflation)'!$D$33,'CPI(Inflation)'!$D39,IF('CPI(Inflation)'!$E$27='CPI(Inflation)'!$E$33,'CPI(Inflation)'!$E39,1))))</f>
        <v>2</v>
      </c>
      <c r="AA116" s="73">
        <f t="shared" si="20"/>
        <v>2.2000000000000002</v>
      </c>
      <c r="AB116" s="51">
        <f>IF(PMI!$F$10=PMI!$B$43,PMI!$B49,IF(PMI!$F$10=PMI!$C$43,PMI!$C49,IF(PMI!$F$10=PMI!$D$44,PMI!$D49,IF(PMI!$F$10=PMI!$E$43,PMI!$E49,1))))</f>
        <v>4</v>
      </c>
      <c r="AC116" s="44">
        <f>BNP!H113</f>
        <v>1</v>
      </c>
      <c r="AD116" s="44">
        <f>IF('10 yr rate'!$E$9='10 yr rate'!$B$35,'10 yr rate'!$B41,IF('10 yr rate'!$E$9='10 yr rate'!$C$35,'10 yr rate'!$C41,IF('10 yr rate'!$E$9='10 yr rate'!$D$35,'10 yr rate'!$D41,IF('10 yr rate'!$E$9='10 yr rate'!$E$35,'10 yr rate'!$E41,1))))</f>
        <v>3</v>
      </c>
      <c r="AE116" s="44">
        <f>IF('CPI(Inflation)'!$E$28='CPI(Inflation)'!$B$33,'CPI(Inflation)'!$B39,IF('CPI(Inflation)'!$E$28='CPI(Inflation)'!$C$33,'CPI(Inflation)'!$C39,IF('CPI(Inflation)'!$E$28='CPI(Inflation)'!$D$33,'CPI(Inflation)'!$D39,IF('CPI(Inflation)'!$E$28='CPI(Inflation)'!$E$33,'CPI(Inflation)'!$E39,1))))</f>
        <v>2</v>
      </c>
      <c r="AF116" s="73">
        <f t="shared" si="21"/>
        <v>2.6</v>
      </c>
      <c r="AG116" s="87">
        <f>IF(PMI!$F$11=PMI!$B$43,PMI!$B49,IF(PMI!$F$11=PMI!$C$43,PMI!$C49,IF(PMI!$F$11=PMI!$D$43,PMI!$D49,IF(PMI!$F$11=PMI!$E$43,PMI!$E49,1))))</f>
        <v>2</v>
      </c>
      <c r="AH116" s="44">
        <f>BNP!I113</f>
        <v>3</v>
      </c>
      <c r="AI116" s="44">
        <f>IF('10 yr rate'!$E$10='10 yr rate'!$B$35,'10 yr rate'!$B41,IF('10 yr rate'!$E$10='10 yr rate'!$C$35,'10 yr rate'!$C41,IF('10 yr rate'!$E$10='10 yr rate'!$D$35,'10 yr rate'!$D41,IF('10 yr rate'!$E$10='10 yr rate'!$E$35,'10 yr rate'!$E41,1))))</f>
        <v>3</v>
      </c>
      <c r="AJ116" s="44">
        <f>IF('CPI(Inflation)'!$E$29='CPI(Inflation)'!$B$33,'CPI(Inflation)'!$B39,IF('CPI(Inflation)'!$E$29='CPI(Inflation)'!$C$33,'CPI(Inflation)'!$C39,IF('CPI(Inflation)'!$E$29='CPI(Inflation)'!$D$33,'CPI(Inflation)'!$D39,IF('CPI(Inflation)'!$E$29='CPI(Inflation)'!$E$33,'CPI(Inflation)'!$E39,1))))</f>
        <v>2</v>
      </c>
      <c r="AK116" s="44">
        <f>'Baltic Dry Index'!B39</f>
        <v>4</v>
      </c>
      <c r="AL116" s="44">
        <f>IF(VIX!$F$15=VIX!$B$33,VIX!B39,IF(VIX!$F$15=VIX!$C$33,VIX!C39,IF(VIX!$F$15=VIX!$D$33,VIX!D39,IF(VIX!$F$15=VIX!$E$33,VIX!E39,1))))</f>
        <v>4</v>
      </c>
      <c r="AM116" s="44">
        <f>IF(Currency!$F$15=Currency!$B$33,Currency!B39,IF(Currency!$F$15=Currency!$C$33,Currency!C39,IF(Currency!$F$15=Currency!$D$33,Currency!D39,IF(Currency!$F$15=Currency!$E$33,Currency!E39,1))))</f>
        <v>3</v>
      </c>
      <c r="AN116" s="44">
        <f>IF(Unemployment!$F$15=Unemployment!$B$33,Unemployment!B39,IF(Unemployment!$F$15=Unemployment!$C$33,Unemployment!C39,IF(Unemployment!$F$15=Unemployment!$D$33,Unemployment!D39,IF(Unemployment!$F$15=Unemployment!$E$33,Unemployment!E39,1))))</f>
        <v>4</v>
      </c>
      <c r="AO116" s="90">
        <f t="shared" si="22"/>
        <v>2.8614999999999999</v>
      </c>
      <c r="AP116" s="87">
        <f>IF(PMI!$F$12=PMI!$B$43,PMI!$B49,IF(PMI!$F$12=PMI!$C$43,PMI!$C49,IF(PMI!$F$12=PMI!$D$44,PMI!$D49,IF(PMI!$F$12=PMI!$E$43,PMI!$E49,1))))</f>
        <v>2</v>
      </c>
      <c r="AQ116" s="44">
        <f>BNP!J113</f>
        <v>1</v>
      </c>
      <c r="AR116" s="44">
        <f>IF('10 yr rate'!$E$11='10 yr rate'!$B$35,'10 yr rate'!$B41,IF('10 yr rate'!$E$11='10 yr rate'!$C$35,'10 yr rate'!$C41,IF('10 yr rate'!$E$11='10 yr rate'!$D$35,'10 yr rate'!$D41,IF('10 yr rate'!$E$11='10 yr rate'!$E$35,'10 yr rate'!$E41,1))))</f>
        <v>3</v>
      </c>
      <c r="AS116" s="44">
        <f>IF('CPI(Inflation)'!$E$30='CPI(Inflation)'!$B$33,'CPI(Inflation)'!$B39,IF('CPI(Inflation)'!$E$30='CPI(Inflation)'!$C$33,'CPI(Inflation)'!$C39,IF('CPI(Inflation)'!$E$30='CPI(Inflation)'!$D$33,'CPI(Inflation)'!$D39,IF('CPI(Inflation)'!$E$30='CPI(Inflation)'!$E$33,'CPI(Inflation)'!$E39,1))))</f>
        <v>2</v>
      </c>
      <c r="AT116" s="44">
        <f>'Baltic Dry Index'!B39</f>
        <v>4</v>
      </c>
      <c r="AU116" s="44">
        <f>IF(VIX!$F$16=VIX!$B$33,VIX!B39,IF(VIX!$F$16=VIX!$C$33,VIX!C39,IF(VIX!$F$16=VIX!$D$33,VIX!D39,IF(VIX!$F$16=VIX!$E$33,VIX!E39,1))))</f>
        <v>2</v>
      </c>
      <c r="AV116" s="44">
        <f>IF(Currency!$F$16=Currency!$B$33,Currency!B39,IF(Currency!$F$16=Currency!$C$33,Currency!C39,IF(Currency!$F$16=Currency!$D$33,Currency!D39,IF(Currency!$F$16=Currency!$E$33,Currency!E39,1))))</f>
        <v>2</v>
      </c>
      <c r="AW116" s="44">
        <f>IF(Unemployment!$F$16=Unemployment!$B$33,Unemployment!B39,IF(Unemployment!$F$16=Unemployment!$C$33,Unemployment!C39,IF(Unemployment!$F$16=Unemployment!$D$33,Unemployment!D39,IF(Unemployment!$F$16=Unemployment!$E$33,Unemployment!E39,1))))</f>
        <v>4</v>
      </c>
      <c r="AX116" s="90">
        <f t="shared" si="23"/>
        <v>2.3058999999999998</v>
      </c>
    </row>
    <row r="117" spans="2:50" x14ac:dyDescent="0.3">
      <c r="B117" s="53" t="s">
        <v>15</v>
      </c>
      <c r="C117" s="51">
        <f>IF(PMI!$F$5=PMI!$B$43,PMI!$B50,IF(PMI!$F$5=PMI!$C$43,PMI!$C50,IF(PMI!$F$5=PMI!$D$44,PMI!$D50,IF(PMI!$F$5=PMI!$E$43,PMI!$E50,1))))</f>
        <v>2</v>
      </c>
      <c r="D117" s="44">
        <f>BNP!C118</f>
        <v>4</v>
      </c>
      <c r="E117" s="44">
        <f>IF('10 yr rate'!$E$4='10 yr rate'!$B$35,'10 yr rate'!$B42,IF('10 yr rate'!$E$4='10 yr rate'!$C$35,'10 yr rate'!$C42,IF('10 yr rate'!$E$4='10 yr rate'!$D$35,'10 yr rate'!$D42,IF('10 yr rate'!$E$4='10 yr rate'!$E$36,'10 yr rate'!$E42,1))))</f>
        <v>2</v>
      </c>
      <c r="F117" s="44">
        <f>IF('CPI(Inflation)'!$E$23='CPI(Inflation)'!$B$33,'CPI(Inflation)'!$B40,IF('CPI(Inflation)'!$E$23='CPI(Inflation)'!$C$33,'CPI(Inflation)'!$C40,IF('CPI(Inflation)'!$E$23='CPI(Inflation)'!$D$33,'CPI(Inflation)'!$D40,IF('CPI(Inflation)'!$E$23='CPI(Inflation)'!$E$33,'CPI(Inflation)'!$E40,1))))</f>
        <v>4</v>
      </c>
      <c r="G117" s="73">
        <f t="shared" si="16"/>
        <v>3</v>
      </c>
      <c r="H117" s="51">
        <f>IF(PMI!$F$6=PMI!$B$43,PMI!$B50,IF(PMI!$F$6=PMI!$C$43,PMI!$C50,IF(PMI!$F$6=PMI!$D$44,PMI!$D50,IF(PMI!$F$6=PMI!$E$43,PMI!$E50,1))))</f>
        <v>2</v>
      </c>
      <c r="I117" s="44">
        <f>BNP!D118</f>
        <v>2</v>
      </c>
      <c r="J117" s="44">
        <f>IF('10 yr rate'!$E$5='10 yr rate'!$B$35,'10 yr rate'!$B42,IF('10 yr rate'!$E$5='10 yr rate'!$C$35,'10 yr rate'!$C42,IF('10 yr rate'!$E$5='10 yr rate'!$D$35,'10 yr rate'!$D42,IF('10 yr rate'!$E$5='10 yr rate'!$E$35,'10 yr rate'!$E42,1))))</f>
        <v>4</v>
      </c>
      <c r="K117" s="44">
        <f>IF('CPI(Inflation)'!$E$24='CPI(Inflation)'!$B$33,'CPI(Inflation)'!$B40,IF('CPI(Inflation)'!$E$24='CPI(Inflation)'!$C$33,'CPI(Inflation)'!$C40,IF('CPI(Inflation)'!$E$24='CPI(Inflation)'!$D$33,'CPI(Inflation)'!$D40,IF('CPI(Inflation)'!$E$24='CPI(Inflation)'!$E$33,'CPI(Inflation)'!$E40,1))))</f>
        <v>4</v>
      </c>
      <c r="L117" s="73">
        <f t="shared" si="17"/>
        <v>3</v>
      </c>
      <c r="M117" s="51">
        <f>IF(PMI!$F$7=PMI!$B$43,PMI!$B50,IF(PMI!$F$7=PMI!$C$43,PMI!$C50,IF(PMI!$F$7=PMI!$D$44,PMI!$D50,IF(PMI!$F$7=PMI!$E$43,PMI!$E50,1))))</f>
        <v>2</v>
      </c>
      <c r="N117" s="44">
        <f>BNP!E118</f>
        <v>4</v>
      </c>
      <c r="O117" s="44">
        <f>IF('10 yr rate'!$E$6='10 yr rate'!$B$35,'10 yr rate'!$B42,IF('10 yr rate'!$E$6='10 yr rate'!$C$35,'10 yr rate'!$C42,IF('10 yr rate'!$E$6='10 yr rate'!$D$35,'10 yr rate'!$D42,IF('10 yr rate'!$E$6='10 yr rate'!$E$35,'10 yr rate'!$E42,1))))</f>
        <v>4</v>
      </c>
      <c r="P117" s="44">
        <f>IF('CPI(Inflation)'!$E$25='CPI(Inflation)'!$B$33,'CPI(Inflation)'!$B40,IF('CPI(Inflation)'!$E$25='CPI(Inflation)'!$C$33,'CPI(Inflation)'!$C40,IF('CPI(Inflation)'!$E$25='CPI(Inflation)'!$D$33,'CPI(Inflation)'!$D40,IF('CPI(Inflation)'!$E$25='CPI(Inflation)'!$E$33,'CPI(Inflation)'!$E40,1))))</f>
        <v>4</v>
      </c>
      <c r="Q117" s="73">
        <f t="shared" si="18"/>
        <v>3.4000000000000004</v>
      </c>
      <c r="R117" s="51">
        <f>IF(PMI!$F$8=PMI!$B$43,PMI!$B50,IF(PMI!$F$8=PMI!$C$43,PMI!$C50,IF(PMI!$F$8=PMI!$D$44,PMI!$D50,IF(PMI!$F$8=PMI!$E$43,PMI!$E50,1))))</f>
        <v>2</v>
      </c>
      <c r="S117" s="44">
        <f>BNP!F118</f>
        <v>4</v>
      </c>
      <c r="T117" s="44">
        <f>IF('10 yr rate'!$E$7='10 yr rate'!$B$35,'10 yr rate'!$B42,IF('10 yr rate'!$E$7='10 yr rate'!$C$35,'10 yr rate'!$C42,IF('10 yr rate'!$E$7='10 yr rate'!$D$35,'10 yr rate'!$D42,IF('10 yr rate'!$E$7='10 yr rate'!$E$35,'10 yr rate'!$E42,1))))</f>
        <v>4</v>
      </c>
      <c r="U117" s="44">
        <f>IF('CPI(Inflation)'!$E$26='CPI(Inflation)'!$B$33,'CPI(Inflation)'!$B40,IF('CPI(Inflation)'!$E$26='CPI(Inflation)'!$C$33,'CPI(Inflation)'!$C40,IF('CPI(Inflation)'!$E$26='CPI(Inflation)'!$D$33,'CPI(Inflation)'!$D40,IF('CPI(Inflation)'!$E$26='CPI(Inflation)'!$E$33,'CPI(Inflation)'!$E40,1))))</f>
        <v>2</v>
      </c>
      <c r="V117" s="73">
        <f t="shared" si="19"/>
        <v>2.8000000000000003</v>
      </c>
      <c r="W117" s="51">
        <f>IF(PMI!$F$9=PMI!$B$43,PMI!$B50,IF(PMI!$F$9=PMI!$C$43,PMI!$C50,IF(PMI!$F$9=PMI!$D$44,PMI!$D50,IF(PMI!$F$9=PMI!$E$43,PMI!$E50,1))))</f>
        <v>2</v>
      </c>
      <c r="X117" s="44">
        <f>BNP!G118</f>
        <v>5</v>
      </c>
      <c r="Y117" s="44">
        <f>IF('10 yr rate'!$E$8='10 yr rate'!$B$35,'10 yr rate'!$B42,IF('10 yr rate'!$E$8='10 yr rate'!$C$35,'10 yr rate'!$C42,IF('10 yr rate'!$E$8='10 yr rate'!$D$35,'10 yr rate'!$D42,IF('10 yr rate'!$E$8='10 yr rate'!$E$35,'10 yr rate'!$E42,1))))</f>
        <v>4</v>
      </c>
      <c r="Z117" s="44">
        <f>IF('CPI(Inflation)'!$E$27='CPI(Inflation)'!$B$33,'CPI(Inflation)'!$B40,IF('CPI(Inflation)'!$E$27='CPI(Inflation)'!$C$33,'CPI(Inflation)'!$C40,IF('CPI(Inflation)'!$E$27='CPI(Inflation)'!$D$33,'CPI(Inflation)'!$D40,IF('CPI(Inflation)'!$E$27='CPI(Inflation)'!$E$33,'CPI(Inflation)'!$E40,1))))</f>
        <v>2</v>
      </c>
      <c r="AA117" s="73">
        <f t="shared" si="20"/>
        <v>3.0000000000000004</v>
      </c>
      <c r="AB117" s="51">
        <f>IF(PMI!$F$10=PMI!$B$43,PMI!$B50,IF(PMI!$F$10=PMI!$C$43,PMI!$C50,IF(PMI!$F$10=PMI!$D$44,PMI!$D50,IF(PMI!$F$10=PMI!$E$43,PMI!$E50,1))))</f>
        <v>2</v>
      </c>
      <c r="AC117" s="44">
        <f>BNP!H118</f>
        <v>2</v>
      </c>
      <c r="AD117" s="44">
        <f>IF('10 yr rate'!$E$9='10 yr rate'!$B$35,'10 yr rate'!$B42,IF('10 yr rate'!$E$9='10 yr rate'!$C$35,'10 yr rate'!$C42,IF('10 yr rate'!$E$9='10 yr rate'!$D$35,'10 yr rate'!$D42,IF('10 yr rate'!$E$9='10 yr rate'!$E$35,'10 yr rate'!$E42,1))))</f>
        <v>4</v>
      </c>
      <c r="AE117" s="44">
        <f>IF('CPI(Inflation)'!$E$28='CPI(Inflation)'!$B$33,'CPI(Inflation)'!$B40,IF('CPI(Inflation)'!$E$28='CPI(Inflation)'!$C$33,'CPI(Inflation)'!$C40,IF('CPI(Inflation)'!$E$28='CPI(Inflation)'!$D$33,'CPI(Inflation)'!$D40,IF('CPI(Inflation)'!$E$28='CPI(Inflation)'!$E$33,'CPI(Inflation)'!$E40,1))))</f>
        <v>2</v>
      </c>
      <c r="AF117" s="73">
        <f t="shared" si="21"/>
        <v>2.4</v>
      </c>
      <c r="AG117" s="87">
        <f>IF(PMI!$F$11=PMI!$B$43,PMI!$B50,IF(PMI!$F$11=PMI!$C$43,PMI!$C50,IF(PMI!$F$11=PMI!$D$43,PMI!$D50,IF(PMI!$F$11=PMI!$E$43,PMI!$E50,1))))</f>
        <v>2</v>
      </c>
      <c r="AH117" s="44">
        <f>BNP!I118</f>
        <v>4</v>
      </c>
      <c r="AI117" s="44">
        <f>IF('10 yr rate'!$E$10='10 yr rate'!$B$35,'10 yr rate'!$B42,IF('10 yr rate'!$E$10='10 yr rate'!$C$35,'10 yr rate'!$C42,IF('10 yr rate'!$E$10='10 yr rate'!$D$35,'10 yr rate'!$D42,IF('10 yr rate'!$E$10='10 yr rate'!$E$35,'10 yr rate'!$E42,1))))</f>
        <v>4</v>
      </c>
      <c r="AJ117" s="44">
        <f>IF('CPI(Inflation)'!$E$29='CPI(Inflation)'!$B$33,'CPI(Inflation)'!$B40,IF('CPI(Inflation)'!$E$29='CPI(Inflation)'!$C$33,'CPI(Inflation)'!$C40,IF('CPI(Inflation)'!$E$29='CPI(Inflation)'!$D$33,'CPI(Inflation)'!$D40,IF('CPI(Inflation)'!$E$29='CPI(Inflation)'!$E$33,'CPI(Inflation)'!$E40,1))))</f>
        <v>2</v>
      </c>
      <c r="AK117" s="44">
        <f>'Baltic Dry Index'!B40</f>
        <v>2</v>
      </c>
      <c r="AL117" s="44">
        <f>IF(VIX!$F$15=VIX!$B$33,VIX!B40,IF(VIX!$F$15=VIX!$C$33,VIX!C40,IF(VIX!$F$15=VIX!$D$33,VIX!D40,IF(VIX!$F$15=VIX!$E$33,VIX!E40,1))))</f>
        <v>2</v>
      </c>
      <c r="AM117" s="44">
        <f>IF(Currency!$F$15=Currency!$B$33,Currency!B40,IF(Currency!$F$15=Currency!$C$33,Currency!C40,IF(Currency!$F$15=Currency!$D$33,Currency!D40,IF(Currency!$F$15=Currency!$E$33,Currency!E40,1))))</f>
        <v>4</v>
      </c>
      <c r="AN117" s="44">
        <f>IF(Unemployment!$F$15=Unemployment!$B$33,Unemployment!B40,IF(Unemployment!$F$15=Unemployment!$C$33,Unemployment!C40,IF(Unemployment!$F$15=Unemployment!$D$33,Unemployment!D40,IF(Unemployment!$F$15=Unemployment!$E$33,Unemployment!E40,1))))</f>
        <v>2</v>
      </c>
      <c r="AO117" s="90">
        <f t="shared" si="22"/>
        <v>2.8336000000000001</v>
      </c>
      <c r="AP117" s="87">
        <f>IF(PMI!$F$12=PMI!$B$43,PMI!$B50,IF(PMI!$F$12=PMI!$C$43,PMI!$C50,IF(PMI!$F$12=PMI!$D$44,PMI!$D50,IF(PMI!$F$12=PMI!$E$43,PMI!$E50,1))))</f>
        <v>2</v>
      </c>
      <c r="AQ117" s="44">
        <f>BNP!J118</f>
        <v>2</v>
      </c>
      <c r="AR117" s="44">
        <f>IF('10 yr rate'!$E$11='10 yr rate'!$B$35,'10 yr rate'!$B42,IF('10 yr rate'!$E$11='10 yr rate'!$C$35,'10 yr rate'!$C42,IF('10 yr rate'!$E$11='10 yr rate'!$D$35,'10 yr rate'!$D42,IF('10 yr rate'!$E$11='10 yr rate'!$E$35,'10 yr rate'!$E42,1))))</f>
        <v>4</v>
      </c>
      <c r="AS117" s="44">
        <f>IF('CPI(Inflation)'!$E$30='CPI(Inflation)'!$B$33,'CPI(Inflation)'!$B40,IF('CPI(Inflation)'!$E$30='CPI(Inflation)'!$C$33,'CPI(Inflation)'!$C40,IF('CPI(Inflation)'!$E$30='CPI(Inflation)'!$D$33,'CPI(Inflation)'!$D40,IF('CPI(Inflation)'!$E$30='CPI(Inflation)'!$E$33,'CPI(Inflation)'!$E40,1))))</f>
        <v>2</v>
      </c>
      <c r="AT117" s="44">
        <f>'Baltic Dry Index'!B40</f>
        <v>2</v>
      </c>
      <c r="AU117" s="44">
        <f>IF(VIX!$F$16=VIX!$B$33,VIX!B40,IF(VIX!$F$16=VIX!$C$33,VIX!C40,IF(VIX!$F$16=VIX!$D$33,VIX!D40,IF(VIX!$F$16=VIX!$E$33,VIX!E40,1))))</f>
        <v>5</v>
      </c>
      <c r="AV117" s="44">
        <f>IF(Currency!$F$16=Currency!$B$33,Currency!B40,IF(Currency!$F$16=Currency!$C$33,Currency!C40,IF(Currency!$F$16=Currency!$D$33,Currency!D40,IF(Currency!$F$16=Currency!$E$33,Currency!E40,1))))</f>
        <v>2</v>
      </c>
      <c r="AW117" s="44">
        <f>IF(Unemployment!$F$16=Unemployment!$B$33,Unemployment!B40,IF(Unemployment!$F$16=Unemployment!$C$33,Unemployment!C40,IF(Unemployment!$F$16=Unemployment!$D$33,Unemployment!D40,IF(Unemployment!$F$16=Unemployment!$E$33,Unemployment!E40,1))))</f>
        <v>2</v>
      </c>
      <c r="AX117" s="90">
        <f t="shared" si="23"/>
        <v>2.5004</v>
      </c>
    </row>
    <row r="118" spans="2:50" x14ac:dyDescent="0.3">
      <c r="B118" s="53" t="s">
        <v>16</v>
      </c>
      <c r="C118" s="51">
        <f>IF(PMI!$F$5=PMI!$B$43,PMI!$B51,IF(PMI!$F$5=PMI!$C$43,PMI!$C51,IF(PMI!$F$5=PMI!$D$44,PMI!$D51,IF(PMI!$F$5=PMI!$E$43,PMI!$E51,1))))</f>
        <v>2</v>
      </c>
      <c r="D118" s="44">
        <f>BNP!C123</f>
        <v>3</v>
      </c>
      <c r="E118" s="44">
        <f>IF('10 yr rate'!$E$4='10 yr rate'!$B$35,'10 yr rate'!$B43,IF('10 yr rate'!$E$4='10 yr rate'!$C$35,'10 yr rate'!$C43,IF('10 yr rate'!$E$4='10 yr rate'!$D$35,'10 yr rate'!$D43,IF('10 yr rate'!$E$4='10 yr rate'!$E$36,'10 yr rate'!$E43,1))))</f>
        <v>3</v>
      </c>
      <c r="F118" s="44">
        <f>IF('CPI(Inflation)'!$E$23='CPI(Inflation)'!$B$33,'CPI(Inflation)'!$B41,IF('CPI(Inflation)'!$E$23='CPI(Inflation)'!$C$33,'CPI(Inflation)'!$C41,IF('CPI(Inflation)'!$E$23='CPI(Inflation)'!$D$33,'CPI(Inflation)'!$D41,IF('CPI(Inflation)'!$E$23='CPI(Inflation)'!$E$33,'CPI(Inflation)'!$E41,1))))</f>
        <v>3</v>
      </c>
      <c r="G118" s="73">
        <f t="shared" si="16"/>
        <v>2.7</v>
      </c>
      <c r="H118" s="51">
        <f>IF(PMI!$F$6=PMI!$B$43,PMI!$B51,IF(PMI!$F$6=PMI!$C$43,PMI!$C51,IF(PMI!$F$6=PMI!$D$44,PMI!$D51,IF(PMI!$F$6=PMI!$E$43,PMI!$E51,1))))</f>
        <v>2</v>
      </c>
      <c r="I118" s="44">
        <f>BNP!D123</f>
        <v>3</v>
      </c>
      <c r="J118" s="44">
        <f>IF('10 yr rate'!$E$5='10 yr rate'!$B$35,'10 yr rate'!$B43,IF('10 yr rate'!$E$5='10 yr rate'!$C$35,'10 yr rate'!$C43,IF('10 yr rate'!$E$5='10 yr rate'!$D$35,'10 yr rate'!$D43,IF('10 yr rate'!$E$5='10 yr rate'!$E$35,'10 yr rate'!$E43,1))))</f>
        <v>3</v>
      </c>
      <c r="K118" s="44">
        <f>IF('CPI(Inflation)'!$E$24='CPI(Inflation)'!$B$33,'CPI(Inflation)'!$B41,IF('CPI(Inflation)'!$E$24='CPI(Inflation)'!$C$33,'CPI(Inflation)'!$C41,IF('CPI(Inflation)'!$E$24='CPI(Inflation)'!$D$33,'CPI(Inflation)'!$D41,IF('CPI(Inflation)'!$E$24='CPI(Inflation)'!$E$33,'CPI(Inflation)'!$E41,1))))</f>
        <v>3</v>
      </c>
      <c r="L118" s="73">
        <f t="shared" si="17"/>
        <v>2.7</v>
      </c>
      <c r="M118" s="51">
        <f>IF(PMI!$F$7=PMI!$B$43,PMI!$B51,IF(PMI!$F$7=PMI!$C$43,PMI!$C51,IF(PMI!$F$7=PMI!$D$44,PMI!$D51,IF(PMI!$F$7=PMI!$E$43,PMI!$E51,1))))</f>
        <v>2</v>
      </c>
      <c r="N118" s="44">
        <f>BNP!E123</f>
        <v>3</v>
      </c>
      <c r="O118" s="44">
        <f>IF('10 yr rate'!$E$6='10 yr rate'!$B$35,'10 yr rate'!$B43,IF('10 yr rate'!$E$6='10 yr rate'!$C$35,'10 yr rate'!$C43,IF('10 yr rate'!$E$6='10 yr rate'!$D$35,'10 yr rate'!$D43,IF('10 yr rate'!$E$6='10 yr rate'!$E$35,'10 yr rate'!$E43,1))))</f>
        <v>3</v>
      </c>
      <c r="P118" s="44">
        <f>IF('CPI(Inflation)'!$E$25='CPI(Inflation)'!$B$33,'CPI(Inflation)'!$B41,IF('CPI(Inflation)'!$E$25='CPI(Inflation)'!$C$33,'CPI(Inflation)'!$C41,IF('CPI(Inflation)'!$E$25='CPI(Inflation)'!$D$33,'CPI(Inflation)'!$D41,IF('CPI(Inflation)'!$E$25='CPI(Inflation)'!$E$33,'CPI(Inflation)'!$E41,1))))</f>
        <v>3</v>
      </c>
      <c r="Q118" s="73">
        <f t="shared" si="18"/>
        <v>2.7</v>
      </c>
      <c r="R118" s="51">
        <f>IF(PMI!$F$8=PMI!$B$43,PMI!$B51,IF(PMI!$F$8=PMI!$C$43,PMI!$C51,IF(PMI!$F$8=PMI!$D$44,PMI!$D51,IF(PMI!$F$8=PMI!$E$43,PMI!$E51,1))))</f>
        <v>2</v>
      </c>
      <c r="S118" s="44">
        <f>BNP!F123</f>
        <v>3</v>
      </c>
      <c r="T118" s="44">
        <f>IF('10 yr rate'!$E$7='10 yr rate'!$B$35,'10 yr rate'!$B43,IF('10 yr rate'!$E$7='10 yr rate'!$C$35,'10 yr rate'!$C43,IF('10 yr rate'!$E$7='10 yr rate'!$D$35,'10 yr rate'!$D43,IF('10 yr rate'!$E$7='10 yr rate'!$E$35,'10 yr rate'!$E43,1))))</f>
        <v>3</v>
      </c>
      <c r="U118" s="44">
        <f>IF('CPI(Inflation)'!$E$26='CPI(Inflation)'!$B$33,'CPI(Inflation)'!$B41,IF('CPI(Inflation)'!$E$26='CPI(Inflation)'!$C$33,'CPI(Inflation)'!$C41,IF('CPI(Inflation)'!$E$26='CPI(Inflation)'!$D$33,'CPI(Inflation)'!$D41,IF('CPI(Inflation)'!$E$26='CPI(Inflation)'!$E$33,'CPI(Inflation)'!$E41,1))))</f>
        <v>3</v>
      </c>
      <c r="V118" s="73">
        <f t="shared" si="19"/>
        <v>2.7</v>
      </c>
      <c r="W118" s="51">
        <f>IF(PMI!$F$9=PMI!$B$43,PMI!$B51,IF(PMI!$F$9=PMI!$C$43,PMI!$C51,IF(PMI!$F$9=PMI!$D$44,PMI!$D51,IF(PMI!$F$9=PMI!$E$43,PMI!$E51,1))))</f>
        <v>3</v>
      </c>
      <c r="X118" s="44">
        <f>BNP!G123</f>
        <v>5</v>
      </c>
      <c r="Y118" s="44">
        <f>IF('10 yr rate'!$E$8='10 yr rate'!$B$35,'10 yr rate'!$B43,IF('10 yr rate'!$E$8='10 yr rate'!$C$35,'10 yr rate'!$C43,IF('10 yr rate'!$E$8='10 yr rate'!$D$35,'10 yr rate'!$D43,IF('10 yr rate'!$E$8='10 yr rate'!$E$35,'10 yr rate'!$E43,1))))</f>
        <v>3</v>
      </c>
      <c r="Z118" s="44">
        <f>IF('CPI(Inflation)'!$E$27='CPI(Inflation)'!$B$33,'CPI(Inflation)'!$B41,IF('CPI(Inflation)'!$E$27='CPI(Inflation)'!$C$33,'CPI(Inflation)'!$C41,IF('CPI(Inflation)'!$E$27='CPI(Inflation)'!$D$33,'CPI(Inflation)'!$D41,IF('CPI(Inflation)'!$E$27='CPI(Inflation)'!$E$33,'CPI(Inflation)'!$E41,1))))</f>
        <v>3</v>
      </c>
      <c r="AA118" s="73">
        <f t="shared" si="20"/>
        <v>3.4</v>
      </c>
      <c r="AB118" s="51">
        <f>IF(PMI!$F$10=PMI!$B$43,PMI!$B51,IF(PMI!$F$10=PMI!$C$43,PMI!$C51,IF(PMI!$F$10=PMI!$D$44,PMI!$D51,IF(PMI!$F$10=PMI!$E$43,PMI!$E51,1))))</f>
        <v>2</v>
      </c>
      <c r="AC118" s="44">
        <f>BNP!H123</f>
        <v>3</v>
      </c>
      <c r="AD118" s="44">
        <f>IF('10 yr rate'!$E$9='10 yr rate'!$B$35,'10 yr rate'!$B43,IF('10 yr rate'!$E$9='10 yr rate'!$C$35,'10 yr rate'!$C43,IF('10 yr rate'!$E$9='10 yr rate'!$D$35,'10 yr rate'!$D43,IF('10 yr rate'!$E$9='10 yr rate'!$E$35,'10 yr rate'!$E43,1))))</f>
        <v>3</v>
      </c>
      <c r="AE118" s="44">
        <f>IF('CPI(Inflation)'!$E$28='CPI(Inflation)'!$B$33,'CPI(Inflation)'!$B41,IF('CPI(Inflation)'!$E$28='CPI(Inflation)'!$C$33,'CPI(Inflation)'!$C41,IF('CPI(Inflation)'!$E$28='CPI(Inflation)'!$D$33,'CPI(Inflation)'!$D41,IF('CPI(Inflation)'!$E$28='CPI(Inflation)'!$E$33,'CPI(Inflation)'!$E41,1))))</f>
        <v>3</v>
      </c>
      <c r="AF118" s="73">
        <f t="shared" si="21"/>
        <v>2.7</v>
      </c>
      <c r="AG118" s="87">
        <f>IF(PMI!$F$11=PMI!$B$43,PMI!$B51,IF(PMI!$F$11=PMI!$C$43,PMI!$C51,IF(PMI!$F$11=PMI!$D$43,PMI!$D51,IF(PMI!$F$11=PMI!$E$43,PMI!$E51,1))))</f>
        <v>3</v>
      </c>
      <c r="AH118" s="44">
        <f>BNP!I123</f>
        <v>3</v>
      </c>
      <c r="AI118" s="44">
        <f>IF('10 yr rate'!$E$10='10 yr rate'!$B$35,'10 yr rate'!$B43,IF('10 yr rate'!$E$10='10 yr rate'!$C$35,'10 yr rate'!$C43,IF('10 yr rate'!$E$10='10 yr rate'!$D$35,'10 yr rate'!$D43,IF('10 yr rate'!$E$10='10 yr rate'!$E$35,'10 yr rate'!$E43,1))))</f>
        <v>3</v>
      </c>
      <c r="AJ118" s="44">
        <f>IF('CPI(Inflation)'!$E$29='CPI(Inflation)'!$B$33,'CPI(Inflation)'!$B41,IF('CPI(Inflation)'!$E$29='CPI(Inflation)'!$C$33,'CPI(Inflation)'!$C41,IF('CPI(Inflation)'!$E$29='CPI(Inflation)'!$D$33,'CPI(Inflation)'!$D41,IF('CPI(Inflation)'!$E$29='CPI(Inflation)'!$E$33,'CPI(Inflation)'!$E41,1))))</f>
        <v>3</v>
      </c>
      <c r="AK118" s="44">
        <f>'Baltic Dry Index'!B41</f>
        <v>2</v>
      </c>
      <c r="AL118" s="44">
        <f>IF(VIX!$F$15=VIX!$B$33,VIX!B41,IF(VIX!$F$15=VIX!$C$33,VIX!C41,IF(VIX!$F$15=VIX!$D$33,VIX!D41,IF(VIX!$F$15=VIX!$E$33,VIX!E41,1))))</f>
        <v>2</v>
      </c>
      <c r="AM118" s="44">
        <f>IF(Currency!$F$15=Currency!$B$33,Currency!B41,IF(Currency!$F$15=Currency!$C$33,Currency!C41,IF(Currency!$F$15=Currency!$D$33,Currency!D41,IF(Currency!$F$15=Currency!$E$33,Currency!E41,1))))</f>
        <v>3</v>
      </c>
      <c r="AN118" s="44">
        <f>IF(Unemployment!$F$15=Unemployment!$B$33,Unemployment!B41,IF(Unemployment!$F$15=Unemployment!$C$33,Unemployment!C41,IF(Unemployment!$F$15=Unemployment!$D$33,Unemployment!D41,IF(Unemployment!$F$15=Unemployment!$E$33,Unemployment!E41,1))))</f>
        <v>2</v>
      </c>
      <c r="AO118" s="90">
        <f t="shared" si="22"/>
        <v>2.778</v>
      </c>
      <c r="AP118" s="87">
        <f>IF(PMI!$F$12=PMI!$B$43,PMI!$B51,IF(PMI!$F$12=PMI!$C$43,PMI!$C51,IF(PMI!$F$12=PMI!$D$44,PMI!$D51,IF(PMI!$F$12=PMI!$E$43,PMI!$E51,1))))</f>
        <v>3</v>
      </c>
      <c r="AQ118" s="44">
        <f>BNP!J123</f>
        <v>3</v>
      </c>
      <c r="AR118" s="44">
        <f>IF('10 yr rate'!$E$11='10 yr rate'!$B$35,'10 yr rate'!$B43,IF('10 yr rate'!$E$11='10 yr rate'!$C$35,'10 yr rate'!$C43,IF('10 yr rate'!$E$11='10 yr rate'!$D$35,'10 yr rate'!$D43,IF('10 yr rate'!$E$11='10 yr rate'!$E$35,'10 yr rate'!$E43,1))))</f>
        <v>3</v>
      </c>
      <c r="AS118" s="44">
        <f>IF('CPI(Inflation)'!$E$30='CPI(Inflation)'!$B$33,'CPI(Inflation)'!$B41,IF('CPI(Inflation)'!$E$30='CPI(Inflation)'!$C$33,'CPI(Inflation)'!$C41,IF('CPI(Inflation)'!$E$30='CPI(Inflation)'!$D$33,'CPI(Inflation)'!$D41,IF('CPI(Inflation)'!$E$30='CPI(Inflation)'!$E$33,'CPI(Inflation)'!$E41,1))))</f>
        <v>3</v>
      </c>
      <c r="AT118" s="44">
        <f>'Baltic Dry Index'!B41</f>
        <v>2</v>
      </c>
      <c r="AU118" s="44">
        <f>IF(VIX!$F$16=VIX!$B$33,VIX!B41,IF(VIX!$F$16=VIX!$C$33,VIX!C41,IF(VIX!$F$16=VIX!$D$33,VIX!D41,IF(VIX!$F$16=VIX!$E$33,VIX!E41,1))))</f>
        <v>5</v>
      </c>
      <c r="AV118" s="44">
        <f>IF(Currency!$F$16=Currency!$B$33,Currency!B41,IF(Currency!$F$16=Currency!$C$33,Currency!C41,IF(Currency!$F$16=Currency!$D$33,Currency!D41,IF(Currency!$F$16=Currency!$E$33,Currency!E41,1))))</f>
        <v>3</v>
      </c>
      <c r="AW118" s="44">
        <f>IF(Unemployment!$F$16=Unemployment!$B$33,Unemployment!B41,IF(Unemployment!$F$16=Unemployment!$C$33,Unemployment!C41,IF(Unemployment!$F$16=Unemployment!$D$33,Unemployment!D41,IF(Unemployment!$F$16=Unemployment!$E$33,Unemployment!E41,1))))</f>
        <v>2</v>
      </c>
      <c r="AX118" s="90">
        <f t="shared" si="23"/>
        <v>2.9447999999999999</v>
      </c>
    </row>
    <row r="119" spans="2:50" x14ac:dyDescent="0.3">
      <c r="B119" s="53" t="s">
        <v>17</v>
      </c>
      <c r="C119" s="51">
        <f>IF(PMI!$F$5=PMI!$B$43,PMI!$B52,IF(PMI!$F$5=PMI!$C$43,PMI!$C52,IF(PMI!$F$5=PMI!$D$44,PMI!$D52,IF(PMI!$F$5=PMI!$E$43,PMI!$E52,1))))</f>
        <v>2</v>
      </c>
      <c r="D119" s="44">
        <f>BNP!C128</f>
        <v>5</v>
      </c>
      <c r="E119" s="44">
        <f>IF('10 yr rate'!$E$4='10 yr rate'!$B$35,'10 yr rate'!$B44,IF('10 yr rate'!$E$4='10 yr rate'!$C$35,'10 yr rate'!$C44,IF('10 yr rate'!$E$4='10 yr rate'!$D$35,'10 yr rate'!$D44,IF('10 yr rate'!$E$4='10 yr rate'!$E$36,'10 yr rate'!$E44,1))))</f>
        <v>3</v>
      </c>
      <c r="F119" s="44">
        <f>IF('CPI(Inflation)'!$E$23='CPI(Inflation)'!$B$33,'CPI(Inflation)'!$B42,IF('CPI(Inflation)'!$E$23='CPI(Inflation)'!$C$33,'CPI(Inflation)'!$C42,IF('CPI(Inflation)'!$E$23='CPI(Inflation)'!$D$33,'CPI(Inflation)'!$D42,IF('CPI(Inflation)'!$E$23='CPI(Inflation)'!$E$33,'CPI(Inflation)'!$E42,1))))</f>
        <v>5</v>
      </c>
      <c r="G119" s="73">
        <f t="shared" si="16"/>
        <v>3.7</v>
      </c>
      <c r="H119" s="51">
        <f>IF(PMI!$F$6=PMI!$B$43,PMI!$B52,IF(PMI!$F$6=PMI!$C$43,PMI!$C52,IF(PMI!$F$6=PMI!$D$44,PMI!$D52,IF(PMI!$F$6=PMI!$E$43,PMI!$E52,1))))</f>
        <v>2</v>
      </c>
      <c r="I119" s="44">
        <f>BNP!D128</f>
        <v>3</v>
      </c>
      <c r="J119" s="44">
        <f>IF('10 yr rate'!$E$5='10 yr rate'!$B$35,'10 yr rate'!$B44,IF('10 yr rate'!$E$5='10 yr rate'!$C$35,'10 yr rate'!$C44,IF('10 yr rate'!$E$5='10 yr rate'!$D$35,'10 yr rate'!$D44,IF('10 yr rate'!$E$5='10 yr rate'!$E$35,'10 yr rate'!$E44,1))))</f>
        <v>5</v>
      </c>
      <c r="K119" s="44">
        <f>IF('CPI(Inflation)'!$E$24='CPI(Inflation)'!$B$33,'CPI(Inflation)'!$B42,IF('CPI(Inflation)'!$E$24='CPI(Inflation)'!$C$33,'CPI(Inflation)'!$C42,IF('CPI(Inflation)'!$E$24='CPI(Inflation)'!$D$33,'CPI(Inflation)'!$D42,IF('CPI(Inflation)'!$E$24='CPI(Inflation)'!$E$33,'CPI(Inflation)'!$E42,1))))</f>
        <v>5</v>
      </c>
      <c r="L119" s="73">
        <f t="shared" si="17"/>
        <v>3.7</v>
      </c>
      <c r="M119" s="51">
        <f>IF(PMI!$F$7=PMI!$B$43,PMI!$B52,IF(PMI!$F$7=PMI!$C$43,PMI!$C52,IF(PMI!$F$7=PMI!$D$44,PMI!$D52,IF(PMI!$F$7=PMI!$E$43,PMI!$E52,1))))</f>
        <v>2</v>
      </c>
      <c r="N119" s="44">
        <f>BNP!E128</f>
        <v>5</v>
      </c>
      <c r="O119" s="44">
        <f>IF('10 yr rate'!$E$6='10 yr rate'!$B$35,'10 yr rate'!$B44,IF('10 yr rate'!$E$6='10 yr rate'!$C$35,'10 yr rate'!$C44,IF('10 yr rate'!$E$6='10 yr rate'!$D$35,'10 yr rate'!$D44,IF('10 yr rate'!$E$6='10 yr rate'!$E$35,'10 yr rate'!$E44,1))))</f>
        <v>5</v>
      </c>
      <c r="P119" s="44">
        <f>IF('CPI(Inflation)'!$E$25='CPI(Inflation)'!$B$33,'CPI(Inflation)'!$B42,IF('CPI(Inflation)'!$E$25='CPI(Inflation)'!$C$33,'CPI(Inflation)'!$C42,IF('CPI(Inflation)'!$E$25='CPI(Inflation)'!$D$33,'CPI(Inflation)'!$D42,IF('CPI(Inflation)'!$E$25='CPI(Inflation)'!$E$33,'CPI(Inflation)'!$E42,1))))</f>
        <v>5</v>
      </c>
      <c r="Q119" s="73">
        <f t="shared" si="18"/>
        <v>4.0999999999999996</v>
      </c>
      <c r="R119" s="51">
        <f>IF(PMI!$F$8=PMI!$B$43,PMI!$B52,IF(PMI!$F$8=PMI!$C$43,PMI!$C52,IF(PMI!$F$8=PMI!$D$44,PMI!$D52,IF(PMI!$F$8=PMI!$E$43,PMI!$E52,1))))</f>
        <v>2</v>
      </c>
      <c r="S119" s="44">
        <f>BNP!F128</f>
        <v>5</v>
      </c>
      <c r="T119" s="44">
        <f>IF('10 yr rate'!$E$7='10 yr rate'!$B$35,'10 yr rate'!$B44,IF('10 yr rate'!$E$7='10 yr rate'!$C$35,'10 yr rate'!$C44,IF('10 yr rate'!$E$7='10 yr rate'!$D$35,'10 yr rate'!$D44,IF('10 yr rate'!$E$7='10 yr rate'!$E$35,'10 yr rate'!$E44,1))))</f>
        <v>5</v>
      </c>
      <c r="U119" s="44">
        <f>IF('CPI(Inflation)'!$E$26='CPI(Inflation)'!$B$33,'CPI(Inflation)'!$B42,IF('CPI(Inflation)'!$E$26='CPI(Inflation)'!$C$33,'CPI(Inflation)'!$C42,IF('CPI(Inflation)'!$E$26='CPI(Inflation)'!$D$33,'CPI(Inflation)'!$D42,IF('CPI(Inflation)'!$E$26='CPI(Inflation)'!$E$33,'CPI(Inflation)'!$E42,1))))</f>
        <v>3</v>
      </c>
      <c r="V119" s="73">
        <f t="shared" si="19"/>
        <v>3.5</v>
      </c>
      <c r="W119" s="51">
        <f>IF(PMI!$F$9=PMI!$B$43,PMI!$B52,IF(PMI!$F$9=PMI!$C$43,PMI!$C52,IF(PMI!$F$9=PMI!$D$44,PMI!$D52,IF(PMI!$F$9=PMI!$E$43,PMI!$E52,1))))</f>
        <v>3</v>
      </c>
      <c r="X119" s="44">
        <f>BNP!G128</f>
        <v>1</v>
      </c>
      <c r="Y119" s="44">
        <f>IF('10 yr rate'!$E$8='10 yr rate'!$B$35,'10 yr rate'!$B44,IF('10 yr rate'!$E$8='10 yr rate'!$C$35,'10 yr rate'!$C44,IF('10 yr rate'!$E$8='10 yr rate'!$D$35,'10 yr rate'!$D44,IF('10 yr rate'!$E$8='10 yr rate'!$E$35,'10 yr rate'!$E44,1))))</f>
        <v>5</v>
      </c>
      <c r="Z119" s="44">
        <f>IF('CPI(Inflation)'!$E$27='CPI(Inflation)'!$B$33,'CPI(Inflation)'!$B42,IF('CPI(Inflation)'!$E$27='CPI(Inflation)'!$C$33,'CPI(Inflation)'!$C42,IF('CPI(Inflation)'!$E$27='CPI(Inflation)'!$D$33,'CPI(Inflation)'!$D42,IF('CPI(Inflation)'!$E$27='CPI(Inflation)'!$E$33,'CPI(Inflation)'!$E42,1))))</f>
        <v>3</v>
      </c>
      <c r="AA119" s="73">
        <f t="shared" si="20"/>
        <v>2.9999999999999996</v>
      </c>
      <c r="AB119" s="51">
        <f>IF(PMI!$F$10=PMI!$B$43,PMI!$B52,IF(PMI!$F$10=PMI!$C$43,PMI!$C52,IF(PMI!$F$10=PMI!$D$44,PMI!$D52,IF(PMI!$F$10=PMI!$E$43,PMI!$E52,1))))</f>
        <v>2</v>
      </c>
      <c r="AC119" s="44">
        <f>BNP!H128</f>
        <v>3</v>
      </c>
      <c r="AD119" s="44">
        <f>IF('10 yr rate'!$E$9='10 yr rate'!$B$35,'10 yr rate'!$B44,IF('10 yr rate'!$E$9='10 yr rate'!$C$35,'10 yr rate'!$C44,IF('10 yr rate'!$E$9='10 yr rate'!$D$35,'10 yr rate'!$D44,IF('10 yr rate'!$E$9='10 yr rate'!$E$35,'10 yr rate'!$E44,1))))</f>
        <v>5</v>
      </c>
      <c r="AE119" s="44">
        <f>IF('CPI(Inflation)'!$E$28='CPI(Inflation)'!$B$33,'CPI(Inflation)'!$B42,IF('CPI(Inflation)'!$E$28='CPI(Inflation)'!$C$33,'CPI(Inflation)'!$C42,IF('CPI(Inflation)'!$E$28='CPI(Inflation)'!$D$33,'CPI(Inflation)'!$D42,IF('CPI(Inflation)'!$E$28='CPI(Inflation)'!$E$33,'CPI(Inflation)'!$E42,1))))</f>
        <v>3</v>
      </c>
      <c r="AF119" s="73">
        <f t="shared" si="21"/>
        <v>3.1</v>
      </c>
      <c r="AG119" s="87">
        <f>IF(PMI!$F$11=PMI!$B$43,PMI!$B52,IF(PMI!$F$11=PMI!$C$43,PMI!$C52,IF(PMI!$F$11=PMI!$D$43,PMI!$D52,IF(PMI!$F$11=PMI!$E$43,PMI!$E52,1))))</f>
        <v>3</v>
      </c>
      <c r="AH119" s="44">
        <f>BNP!I128</f>
        <v>5</v>
      </c>
      <c r="AI119" s="44">
        <f>IF('10 yr rate'!$E$10='10 yr rate'!$B$35,'10 yr rate'!$B44,IF('10 yr rate'!$E$10='10 yr rate'!$C$35,'10 yr rate'!$C44,IF('10 yr rate'!$E$10='10 yr rate'!$D$35,'10 yr rate'!$D44,IF('10 yr rate'!$E$10='10 yr rate'!$E$35,'10 yr rate'!$E44,1))))</f>
        <v>5</v>
      </c>
      <c r="AJ119" s="44">
        <f>IF('CPI(Inflation)'!$E$29='CPI(Inflation)'!$B$33,'CPI(Inflation)'!$B42,IF('CPI(Inflation)'!$E$29='CPI(Inflation)'!$C$33,'CPI(Inflation)'!$C42,IF('CPI(Inflation)'!$E$29='CPI(Inflation)'!$D$33,'CPI(Inflation)'!$D42,IF('CPI(Inflation)'!$E$29='CPI(Inflation)'!$E$33,'CPI(Inflation)'!$E42,1))))</f>
        <v>3</v>
      </c>
      <c r="AK119" s="44">
        <f>'Baltic Dry Index'!B42</f>
        <v>2</v>
      </c>
      <c r="AL119" s="44">
        <f>IF(VIX!$F$15=VIX!$B$33,VIX!B42,IF(VIX!$F$15=VIX!$C$33,VIX!C42,IF(VIX!$F$15=VIX!$D$33,VIX!D42,IF(VIX!$F$15=VIX!$E$33,VIX!E42,1))))</f>
        <v>2</v>
      </c>
      <c r="AM119" s="44">
        <f>IF(Currency!$F$15=Currency!$B$33,Currency!B42,IF(Currency!$F$15=Currency!$C$33,Currency!C42,IF(Currency!$F$15=Currency!$D$33,Currency!D42,IF(Currency!$F$15=Currency!$E$33,Currency!E42,1))))</f>
        <v>5</v>
      </c>
      <c r="AN119" s="44">
        <f>IF(Unemployment!$F$15=Unemployment!$B$33,Unemployment!B42,IF(Unemployment!$F$15=Unemployment!$C$33,Unemployment!C42,IF(Unemployment!$F$15=Unemployment!$D$33,Unemployment!D42,IF(Unemployment!$F$15=Unemployment!$E$33,Unemployment!E42,1))))</f>
        <v>2</v>
      </c>
      <c r="AO119" s="90">
        <f t="shared" si="22"/>
        <v>3.6114000000000006</v>
      </c>
      <c r="AP119" s="87">
        <f>IF(PMI!$F$12=PMI!$B$43,PMI!$B52,IF(PMI!$F$12=PMI!$C$43,PMI!$C52,IF(PMI!$F$12=PMI!$D$44,PMI!$D52,IF(PMI!$F$12=PMI!$E$43,PMI!$E52,1))))</f>
        <v>3</v>
      </c>
      <c r="AQ119" s="44">
        <f>BNP!J128</f>
        <v>3</v>
      </c>
      <c r="AR119" s="44">
        <f>IF('10 yr rate'!$E$11='10 yr rate'!$B$35,'10 yr rate'!$B44,IF('10 yr rate'!$E$11='10 yr rate'!$C$35,'10 yr rate'!$C44,IF('10 yr rate'!$E$11='10 yr rate'!$D$35,'10 yr rate'!$D44,IF('10 yr rate'!$E$11='10 yr rate'!$E$35,'10 yr rate'!$E44,1))))</f>
        <v>5</v>
      </c>
      <c r="AS119" s="44">
        <f>IF('CPI(Inflation)'!$E$30='CPI(Inflation)'!$B$33,'CPI(Inflation)'!$B42,IF('CPI(Inflation)'!$E$30='CPI(Inflation)'!$C$33,'CPI(Inflation)'!$C42,IF('CPI(Inflation)'!$E$30='CPI(Inflation)'!$D$33,'CPI(Inflation)'!$D42,IF('CPI(Inflation)'!$E$30='CPI(Inflation)'!$E$33,'CPI(Inflation)'!$E42,1))))</f>
        <v>3</v>
      </c>
      <c r="AT119" s="44">
        <f>'Baltic Dry Index'!B42</f>
        <v>2</v>
      </c>
      <c r="AU119" s="44">
        <f>IF(VIX!$F$16=VIX!$B$33,VIX!B42,IF(VIX!$F$16=VIX!$C$33,VIX!C42,IF(VIX!$F$16=VIX!$D$33,VIX!D42,IF(VIX!$F$16=VIX!$E$33,VIX!E42,1))))</f>
        <v>1</v>
      </c>
      <c r="AV119" s="44">
        <f>IF(Currency!$F$16=Currency!$B$33,Currency!B42,IF(Currency!$F$16=Currency!$C$33,Currency!C42,IF(Currency!$F$16=Currency!$D$33,Currency!D42,IF(Currency!$F$16=Currency!$E$33,Currency!E42,1))))</f>
        <v>3</v>
      </c>
      <c r="AW119" s="44">
        <f>IF(Unemployment!$F$16=Unemployment!$B$33,Unemployment!B42,IF(Unemployment!$F$16=Unemployment!$C$33,Unemployment!C42,IF(Unemployment!$F$16=Unemployment!$D$33,Unemployment!D42,IF(Unemployment!$F$16=Unemployment!$E$33,Unemployment!E42,1))))</f>
        <v>2</v>
      </c>
      <c r="AX119" s="90">
        <f t="shared" si="23"/>
        <v>3.0558000000000001</v>
      </c>
    </row>
    <row r="120" spans="2:50" x14ac:dyDescent="0.3">
      <c r="B120" s="53" t="s">
        <v>18</v>
      </c>
      <c r="C120" s="51">
        <f>IF(PMI!$F$5=PMI!$B$43,PMI!$B53,IF(PMI!$F$5=PMI!$C$43,PMI!$C53,IF(PMI!$F$5=PMI!$D$44,PMI!$D53,IF(PMI!$F$5=PMI!$E$43,PMI!$E53,1))))</f>
        <v>3</v>
      </c>
      <c r="D120" s="44">
        <f>BNP!C133</f>
        <v>3</v>
      </c>
      <c r="E120" s="44">
        <f>IF('10 yr rate'!$E$4='10 yr rate'!$B$35,'10 yr rate'!$B45,IF('10 yr rate'!$E$4='10 yr rate'!$C$35,'10 yr rate'!$C45,IF('10 yr rate'!$E$4='10 yr rate'!$D$35,'10 yr rate'!$D45,IF('10 yr rate'!$E$4='10 yr rate'!$E$36,'10 yr rate'!$E45,1))))</f>
        <v>4</v>
      </c>
      <c r="F120" s="44">
        <f>IF('CPI(Inflation)'!$E$23='CPI(Inflation)'!$B$33,'CPI(Inflation)'!$B43,IF('CPI(Inflation)'!$E$23='CPI(Inflation)'!$C$33,'CPI(Inflation)'!$C43,IF('CPI(Inflation)'!$E$23='CPI(Inflation)'!$D$33,'CPI(Inflation)'!$D43,IF('CPI(Inflation)'!$E$23='CPI(Inflation)'!$E$33,'CPI(Inflation)'!$E43,1))))</f>
        <v>3</v>
      </c>
      <c r="G120" s="73">
        <f t="shared" si="16"/>
        <v>3.1999999999999997</v>
      </c>
      <c r="H120" s="51">
        <f>IF(PMI!$F$6=PMI!$B$43,PMI!$B53,IF(PMI!$F$6=PMI!$C$43,PMI!$C53,IF(PMI!$F$6=PMI!$D$44,PMI!$D53,IF(PMI!$F$6=PMI!$E$43,PMI!$E53,1))))</f>
        <v>3</v>
      </c>
      <c r="I120" s="44">
        <f>BNP!D133</f>
        <v>4</v>
      </c>
      <c r="J120" s="44">
        <f>IF('10 yr rate'!$E$5='10 yr rate'!$B$35,'10 yr rate'!$B45,IF('10 yr rate'!$E$5='10 yr rate'!$C$35,'10 yr rate'!$C45,IF('10 yr rate'!$E$5='10 yr rate'!$D$35,'10 yr rate'!$D45,IF('10 yr rate'!$E$5='10 yr rate'!$E$35,'10 yr rate'!$E45,1))))</f>
        <v>3</v>
      </c>
      <c r="K120" s="44">
        <f>IF('CPI(Inflation)'!$E$24='CPI(Inflation)'!$B$33,'CPI(Inflation)'!$B43,IF('CPI(Inflation)'!$E$24='CPI(Inflation)'!$C$33,'CPI(Inflation)'!$C43,IF('CPI(Inflation)'!$E$24='CPI(Inflation)'!$D$33,'CPI(Inflation)'!$D43,IF('CPI(Inflation)'!$E$24='CPI(Inflation)'!$E$33,'CPI(Inflation)'!$E43,1))))</f>
        <v>3</v>
      </c>
      <c r="L120" s="73">
        <f t="shared" si="17"/>
        <v>3.1999999999999997</v>
      </c>
      <c r="M120" s="51">
        <f>IF(PMI!$F$7=PMI!$B$43,PMI!$B53,IF(PMI!$F$7=PMI!$C$43,PMI!$C53,IF(PMI!$F$7=PMI!$D$44,PMI!$D53,IF(PMI!$F$7=PMI!$E$43,PMI!$E53,1))))</f>
        <v>3</v>
      </c>
      <c r="N120" s="44">
        <f>BNP!E133</f>
        <v>3</v>
      </c>
      <c r="O120" s="44">
        <f>IF('10 yr rate'!$E$6='10 yr rate'!$B$35,'10 yr rate'!$B45,IF('10 yr rate'!$E$6='10 yr rate'!$C$35,'10 yr rate'!$C45,IF('10 yr rate'!$E$6='10 yr rate'!$D$35,'10 yr rate'!$D45,IF('10 yr rate'!$E$6='10 yr rate'!$E$35,'10 yr rate'!$E45,1))))</f>
        <v>3</v>
      </c>
      <c r="P120" s="44">
        <f>IF('CPI(Inflation)'!$E$25='CPI(Inflation)'!$B$33,'CPI(Inflation)'!$B43,IF('CPI(Inflation)'!$E$25='CPI(Inflation)'!$C$33,'CPI(Inflation)'!$C43,IF('CPI(Inflation)'!$E$25='CPI(Inflation)'!$D$33,'CPI(Inflation)'!$D43,IF('CPI(Inflation)'!$E$25='CPI(Inflation)'!$E$33,'CPI(Inflation)'!$E43,1))))</f>
        <v>3</v>
      </c>
      <c r="Q120" s="73">
        <f t="shared" si="18"/>
        <v>3</v>
      </c>
      <c r="R120" s="51">
        <f>IF(PMI!$F$8=PMI!$B$43,PMI!$B53,IF(PMI!$F$8=PMI!$C$43,PMI!$C53,IF(PMI!$F$8=PMI!$D$44,PMI!$D53,IF(PMI!$F$8=PMI!$E$43,PMI!$E53,1))))</f>
        <v>3</v>
      </c>
      <c r="S120" s="44">
        <f>BNP!F133</f>
        <v>3</v>
      </c>
      <c r="T120" s="44">
        <f>IF('10 yr rate'!$E$7='10 yr rate'!$B$35,'10 yr rate'!$B45,IF('10 yr rate'!$E$7='10 yr rate'!$C$35,'10 yr rate'!$C45,IF('10 yr rate'!$E$7='10 yr rate'!$D$35,'10 yr rate'!$D45,IF('10 yr rate'!$E$7='10 yr rate'!$E$35,'10 yr rate'!$E45,1))))</f>
        <v>3</v>
      </c>
      <c r="U120" s="44">
        <f>IF('CPI(Inflation)'!$E$26='CPI(Inflation)'!$B$33,'CPI(Inflation)'!$B43,IF('CPI(Inflation)'!$E$26='CPI(Inflation)'!$C$33,'CPI(Inflation)'!$C43,IF('CPI(Inflation)'!$E$26='CPI(Inflation)'!$D$33,'CPI(Inflation)'!$D43,IF('CPI(Inflation)'!$E$26='CPI(Inflation)'!$E$33,'CPI(Inflation)'!$E43,1))))</f>
        <v>4</v>
      </c>
      <c r="V120" s="73">
        <f t="shared" si="19"/>
        <v>3.3</v>
      </c>
      <c r="W120" s="51">
        <f>IF(PMI!$F$9=PMI!$B$43,PMI!$B53,IF(PMI!$F$9=PMI!$C$43,PMI!$C53,IF(PMI!$F$9=PMI!$D$44,PMI!$D53,IF(PMI!$F$9=PMI!$E$43,PMI!$E53,1))))</f>
        <v>4</v>
      </c>
      <c r="X120" s="44">
        <f>BNP!G133</f>
        <v>2</v>
      </c>
      <c r="Y120" s="44">
        <f>IF('10 yr rate'!$E$8='10 yr rate'!$B$35,'10 yr rate'!$B45,IF('10 yr rate'!$E$8='10 yr rate'!$C$35,'10 yr rate'!$C45,IF('10 yr rate'!$E$8='10 yr rate'!$D$35,'10 yr rate'!$D45,IF('10 yr rate'!$E$8='10 yr rate'!$E$35,'10 yr rate'!$E45,1))))</f>
        <v>3</v>
      </c>
      <c r="Z120" s="44">
        <f>IF('CPI(Inflation)'!$E$27='CPI(Inflation)'!$B$33,'CPI(Inflation)'!$B43,IF('CPI(Inflation)'!$E$27='CPI(Inflation)'!$C$33,'CPI(Inflation)'!$C43,IF('CPI(Inflation)'!$E$27='CPI(Inflation)'!$D$33,'CPI(Inflation)'!$D43,IF('CPI(Inflation)'!$E$27='CPI(Inflation)'!$E$33,'CPI(Inflation)'!$E43,1))))</f>
        <v>4</v>
      </c>
      <c r="AA120" s="73">
        <f t="shared" si="20"/>
        <v>3.4000000000000004</v>
      </c>
      <c r="AB120" s="51">
        <f>IF(PMI!$F$10=PMI!$B$43,PMI!$B53,IF(PMI!$F$10=PMI!$C$43,PMI!$C53,IF(PMI!$F$10=PMI!$D$44,PMI!$D53,IF(PMI!$F$10=PMI!$E$43,PMI!$E53,1))))</f>
        <v>3</v>
      </c>
      <c r="AC120" s="44">
        <f>BNP!H133</f>
        <v>4</v>
      </c>
      <c r="AD120" s="44">
        <f>IF('10 yr rate'!$E$9='10 yr rate'!$B$35,'10 yr rate'!$B45,IF('10 yr rate'!$E$9='10 yr rate'!$C$35,'10 yr rate'!$C45,IF('10 yr rate'!$E$9='10 yr rate'!$D$35,'10 yr rate'!$D45,IF('10 yr rate'!$E$9='10 yr rate'!$E$35,'10 yr rate'!$E45,1))))</f>
        <v>3</v>
      </c>
      <c r="AE120" s="44">
        <f>IF('CPI(Inflation)'!$E$28='CPI(Inflation)'!$B$33,'CPI(Inflation)'!$B43,IF('CPI(Inflation)'!$E$28='CPI(Inflation)'!$C$33,'CPI(Inflation)'!$C43,IF('CPI(Inflation)'!$E$28='CPI(Inflation)'!$D$33,'CPI(Inflation)'!$D43,IF('CPI(Inflation)'!$E$28='CPI(Inflation)'!$E$33,'CPI(Inflation)'!$E43,1))))</f>
        <v>4</v>
      </c>
      <c r="AF120" s="73">
        <f t="shared" si="21"/>
        <v>3.5</v>
      </c>
      <c r="AG120" s="87">
        <f>IF(PMI!$F$11=PMI!$B$43,PMI!$B53,IF(PMI!$F$11=PMI!$C$43,PMI!$C53,IF(PMI!$F$11=PMI!$D$43,PMI!$D53,IF(PMI!$F$11=PMI!$E$43,PMI!$E53,1))))</f>
        <v>4</v>
      </c>
      <c r="AH120" s="44">
        <f>BNP!I133</f>
        <v>3</v>
      </c>
      <c r="AI120" s="44">
        <f>IF('10 yr rate'!$E$10='10 yr rate'!$B$35,'10 yr rate'!$B45,IF('10 yr rate'!$E$10='10 yr rate'!$C$35,'10 yr rate'!$C45,IF('10 yr rate'!$E$10='10 yr rate'!$D$35,'10 yr rate'!$D45,IF('10 yr rate'!$E$10='10 yr rate'!$E$35,'10 yr rate'!$E45,1))))</f>
        <v>3</v>
      </c>
      <c r="AJ120" s="44">
        <f>IF('CPI(Inflation)'!$E$29='CPI(Inflation)'!$B$33,'CPI(Inflation)'!$B43,IF('CPI(Inflation)'!$E$29='CPI(Inflation)'!$C$33,'CPI(Inflation)'!$C43,IF('CPI(Inflation)'!$E$29='CPI(Inflation)'!$D$33,'CPI(Inflation)'!$D43,IF('CPI(Inflation)'!$E$29='CPI(Inflation)'!$E$33,'CPI(Inflation)'!$E43,1))))</f>
        <v>4</v>
      </c>
      <c r="AK120" s="44">
        <f>'Baltic Dry Index'!B43</f>
        <v>3</v>
      </c>
      <c r="AL120" s="44">
        <f>IF(VIX!$F$15=VIX!$B$33,VIX!B43,IF(VIX!$F$15=VIX!$C$33,VIX!C43,IF(VIX!$F$15=VIX!$D$33,VIX!D43,IF(VIX!$F$15=VIX!$E$33,VIX!E43,1))))</f>
        <v>3</v>
      </c>
      <c r="AM120" s="44">
        <f>IF(Currency!$F$15=Currency!$B$33,Currency!B43,IF(Currency!$F$15=Currency!$C$33,Currency!C43,IF(Currency!$F$15=Currency!$D$33,Currency!D43,IF(Currency!$F$15=Currency!$E$33,Currency!E43,1))))</f>
        <v>3</v>
      </c>
      <c r="AN120" s="44">
        <f>IF(Unemployment!$F$15=Unemployment!$B$33,Unemployment!B43,IF(Unemployment!$F$15=Unemployment!$C$33,Unemployment!C43,IF(Unemployment!$F$15=Unemployment!$D$33,Unemployment!D43,IF(Unemployment!$F$15=Unemployment!$E$33,Unemployment!E43,1))))</f>
        <v>3</v>
      </c>
      <c r="AO120" s="90">
        <f t="shared" si="22"/>
        <v>3.3613999999999993</v>
      </c>
      <c r="AP120" s="87">
        <f>IF(PMI!$F$12=PMI!$B$43,PMI!$B53,IF(PMI!$F$12=PMI!$C$43,PMI!$C53,IF(PMI!$F$12=PMI!$D$44,PMI!$D53,IF(PMI!$F$12=PMI!$E$43,PMI!$E53,1))))</f>
        <v>4</v>
      </c>
      <c r="AQ120" s="44">
        <f>BNP!J133</f>
        <v>4</v>
      </c>
      <c r="AR120" s="44">
        <f>IF('10 yr rate'!$E$11='10 yr rate'!$B$35,'10 yr rate'!$B45,IF('10 yr rate'!$E$11='10 yr rate'!$C$35,'10 yr rate'!$C45,IF('10 yr rate'!$E$11='10 yr rate'!$D$35,'10 yr rate'!$D45,IF('10 yr rate'!$E$11='10 yr rate'!$E$35,'10 yr rate'!$E45,1))))</f>
        <v>3</v>
      </c>
      <c r="AS120" s="44">
        <f>IF('CPI(Inflation)'!$E$30='CPI(Inflation)'!$B$33,'CPI(Inflation)'!$B43,IF('CPI(Inflation)'!$E$30='CPI(Inflation)'!$C$33,'CPI(Inflation)'!$C43,IF('CPI(Inflation)'!$E$30='CPI(Inflation)'!$D$33,'CPI(Inflation)'!$D43,IF('CPI(Inflation)'!$E$30='CPI(Inflation)'!$E$33,'CPI(Inflation)'!$E43,1))))</f>
        <v>4</v>
      </c>
      <c r="AT120" s="44">
        <f>'Baltic Dry Index'!B43</f>
        <v>3</v>
      </c>
      <c r="AU120" s="44">
        <f>IF(VIX!$F$16=VIX!$B$33,VIX!B43,IF(VIX!$F$16=VIX!$C$33,VIX!C43,IF(VIX!$F$16=VIX!$D$33,VIX!D43,IF(VIX!$F$16=VIX!$E$33,VIX!E43,1))))</f>
        <v>2</v>
      </c>
      <c r="AV120" s="44">
        <f>IF(Currency!$F$16=Currency!$B$33,Currency!B43,IF(Currency!$F$16=Currency!$C$33,Currency!C43,IF(Currency!$F$16=Currency!$D$33,Currency!D43,IF(Currency!$F$16=Currency!$E$33,Currency!E43,1))))</f>
        <v>4</v>
      </c>
      <c r="AW120" s="44">
        <f>IF(Unemployment!$F$16=Unemployment!$B$33,Unemployment!B43,IF(Unemployment!$F$16=Unemployment!$C$33,Unemployment!C43,IF(Unemployment!$F$16=Unemployment!$D$33,Unemployment!D43,IF(Unemployment!$F$16=Unemployment!$E$33,Unemployment!E43,1))))</f>
        <v>3</v>
      </c>
      <c r="AX120" s="90">
        <f t="shared" si="23"/>
        <v>3.5558000000000001</v>
      </c>
    </row>
    <row r="121" spans="2:50" x14ac:dyDescent="0.3">
      <c r="B121" s="54" t="s">
        <v>19</v>
      </c>
      <c r="C121" s="51">
        <f>IF(PMI!$F$5=PMI!$B$43,PMI!$B54,IF(PMI!$F$5=PMI!$C$43,PMI!$C54,IF(PMI!$F$5=PMI!$D$44,PMI!$D54,IF(PMI!$F$5=PMI!$E$43,PMI!$E54,1))))</f>
        <v>2</v>
      </c>
      <c r="D121" s="55">
        <f>BNP!C138</f>
        <v>4</v>
      </c>
      <c r="E121" s="44">
        <f>IF('10 yr rate'!$E$4='10 yr rate'!$B$35,'10 yr rate'!$B46,IF('10 yr rate'!$E$4='10 yr rate'!$C$35,'10 yr rate'!$C46,IF('10 yr rate'!$E$4='10 yr rate'!$D$35,'10 yr rate'!$D46,IF('10 yr rate'!$E$4='10 yr rate'!$E$36,'10 yr rate'!$E46,1))))</f>
        <v>2</v>
      </c>
      <c r="F121" s="44">
        <f>IF('CPI(Inflation)'!$E$23='CPI(Inflation)'!$B$33,'CPI(Inflation)'!$B44,IF('CPI(Inflation)'!$E$23='CPI(Inflation)'!$C$33,'CPI(Inflation)'!$C44,IF('CPI(Inflation)'!$E$23='CPI(Inflation)'!$D$33,'CPI(Inflation)'!$D44,IF('CPI(Inflation)'!$E$23='CPI(Inflation)'!$E$33,'CPI(Inflation)'!$E44,1))))</f>
        <v>4</v>
      </c>
      <c r="G121" s="74">
        <f t="shared" si="16"/>
        <v>3</v>
      </c>
      <c r="H121" s="51">
        <f>IF(PMI!$F$6=PMI!$B$43,PMI!$B54,IF(PMI!$F$6=PMI!$C$43,PMI!$C54,IF(PMI!$F$6=PMI!$D$44,PMI!$D54,IF(PMI!$F$6=PMI!$E$43,PMI!$E54,1))))</f>
        <v>2</v>
      </c>
      <c r="I121" s="55">
        <f>BNP!D138</f>
        <v>2</v>
      </c>
      <c r="J121" s="44">
        <f>IF('10 yr rate'!$E$5='10 yr rate'!$B$35,'10 yr rate'!$B46,IF('10 yr rate'!$E$5='10 yr rate'!$C$35,'10 yr rate'!$C46,IF('10 yr rate'!$E$5='10 yr rate'!$D$35,'10 yr rate'!$D46,IF('10 yr rate'!$E$5='10 yr rate'!$E$35,'10 yr rate'!$E46,1))))</f>
        <v>4</v>
      </c>
      <c r="K121" s="44">
        <f>IF('CPI(Inflation)'!$E$24='CPI(Inflation)'!$B$33,'CPI(Inflation)'!$B44,IF('CPI(Inflation)'!$E$24='CPI(Inflation)'!$C$33,'CPI(Inflation)'!$C44,IF('CPI(Inflation)'!$E$24='CPI(Inflation)'!$D$33,'CPI(Inflation)'!$D44,IF('CPI(Inflation)'!$E$24='CPI(Inflation)'!$E$33,'CPI(Inflation)'!$E44,1))))</f>
        <v>4</v>
      </c>
      <c r="L121" s="74">
        <f t="shared" si="17"/>
        <v>3</v>
      </c>
      <c r="M121" s="51">
        <f>IF(PMI!$F$7=PMI!$B$43,PMI!$B54,IF(PMI!$F$7=PMI!$C$43,PMI!$C54,IF(PMI!$F$7=PMI!$D$44,PMI!$D54,IF(PMI!$F$7=PMI!$E$43,PMI!$E54,1))))</f>
        <v>2</v>
      </c>
      <c r="N121" s="55">
        <f>BNP!E138</f>
        <v>4</v>
      </c>
      <c r="O121" s="44">
        <f>IF('10 yr rate'!$E$6='10 yr rate'!$B$35,'10 yr rate'!$B46,IF('10 yr rate'!$E$6='10 yr rate'!$C$35,'10 yr rate'!$C46,IF('10 yr rate'!$E$6='10 yr rate'!$D$35,'10 yr rate'!$D46,IF('10 yr rate'!$E$6='10 yr rate'!$E$35,'10 yr rate'!$E46,1))))</f>
        <v>4</v>
      </c>
      <c r="P121" s="44">
        <f>IF('CPI(Inflation)'!$E$25='CPI(Inflation)'!$B$33,'CPI(Inflation)'!$B44,IF('CPI(Inflation)'!$E$25='CPI(Inflation)'!$C$33,'CPI(Inflation)'!$C44,IF('CPI(Inflation)'!$E$25='CPI(Inflation)'!$D$33,'CPI(Inflation)'!$D44,IF('CPI(Inflation)'!$E$25='CPI(Inflation)'!$E$33,'CPI(Inflation)'!$E44,1))))</f>
        <v>4</v>
      </c>
      <c r="Q121" s="74">
        <f t="shared" si="18"/>
        <v>3.4000000000000004</v>
      </c>
      <c r="R121" s="51">
        <f>IF(PMI!$F$8=PMI!$B$43,PMI!$B54,IF(PMI!$F$8=PMI!$C$43,PMI!$C54,IF(PMI!$F$8=PMI!$D$44,PMI!$D54,IF(PMI!$F$8=PMI!$E$43,PMI!$E54,1))))</f>
        <v>2</v>
      </c>
      <c r="S121" s="55">
        <f>BNP!F138</f>
        <v>4</v>
      </c>
      <c r="T121" s="44">
        <f>IF('10 yr rate'!$E$7='10 yr rate'!$B$35,'10 yr rate'!$B46,IF('10 yr rate'!$E$7='10 yr rate'!$C$35,'10 yr rate'!$C46,IF('10 yr rate'!$E$7='10 yr rate'!$D$35,'10 yr rate'!$D46,IF('10 yr rate'!$E$7='10 yr rate'!$E$35,'10 yr rate'!$E46,1))))</f>
        <v>4</v>
      </c>
      <c r="U121" s="44">
        <f>IF('CPI(Inflation)'!$E$26='CPI(Inflation)'!$B$33,'CPI(Inflation)'!$B44,IF('CPI(Inflation)'!$E$26='CPI(Inflation)'!$C$33,'CPI(Inflation)'!$C44,IF('CPI(Inflation)'!$E$26='CPI(Inflation)'!$D$33,'CPI(Inflation)'!$D44,IF('CPI(Inflation)'!$E$26='CPI(Inflation)'!$E$33,'CPI(Inflation)'!$E44,1))))</f>
        <v>2</v>
      </c>
      <c r="V121" s="74">
        <f t="shared" si="19"/>
        <v>2.8000000000000003</v>
      </c>
      <c r="W121" s="51">
        <f>IF(PMI!$F$9=PMI!$B$43,PMI!$B54,IF(PMI!$F$9=PMI!$C$43,PMI!$C54,IF(PMI!$F$9=PMI!$D$44,PMI!$D54,IF(PMI!$F$9=PMI!$E$43,PMI!$E54,1))))</f>
        <v>2</v>
      </c>
      <c r="X121" s="55">
        <f>BNP!G138</f>
        <v>5</v>
      </c>
      <c r="Y121" s="44">
        <f>IF('10 yr rate'!$E$8='10 yr rate'!$B$35,'10 yr rate'!$B46,IF('10 yr rate'!$E$8='10 yr rate'!$C$35,'10 yr rate'!$C46,IF('10 yr rate'!$E$8='10 yr rate'!$D$35,'10 yr rate'!$D46,IF('10 yr rate'!$E$8='10 yr rate'!$E$35,'10 yr rate'!$E46,1))))</f>
        <v>4</v>
      </c>
      <c r="Z121" s="44">
        <f>IF('CPI(Inflation)'!$E$27='CPI(Inflation)'!$B$33,'CPI(Inflation)'!$B44,IF('CPI(Inflation)'!$E$27='CPI(Inflation)'!$C$33,'CPI(Inflation)'!$C44,IF('CPI(Inflation)'!$E$27='CPI(Inflation)'!$D$33,'CPI(Inflation)'!$D44,IF('CPI(Inflation)'!$E$27='CPI(Inflation)'!$E$33,'CPI(Inflation)'!$E44,1))))</f>
        <v>2</v>
      </c>
      <c r="AA121" s="74">
        <f t="shared" si="20"/>
        <v>3.0000000000000004</v>
      </c>
      <c r="AB121" s="51">
        <f>IF(PMI!$F$10=PMI!$B$43,PMI!$B54,IF(PMI!$F$10=PMI!$C$43,PMI!$C54,IF(PMI!$F$10=PMI!$D$44,PMI!$D54,IF(PMI!$F$10=PMI!$E$43,PMI!$E54,1))))</f>
        <v>2</v>
      </c>
      <c r="AC121" s="55">
        <f>BNP!H138</f>
        <v>2</v>
      </c>
      <c r="AD121" s="44">
        <f>IF('10 yr rate'!$E$9='10 yr rate'!$B$35,'10 yr rate'!$B46,IF('10 yr rate'!$E$9='10 yr rate'!$C$35,'10 yr rate'!$C46,IF('10 yr rate'!$E$9='10 yr rate'!$D$35,'10 yr rate'!$D46,IF('10 yr rate'!$E$9='10 yr rate'!$E$35,'10 yr rate'!$E46,1))))</f>
        <v>4</v>
      </c>
      <c r="AE121" s="44">
        <f>IF('CPI(Inflation)'!$E$28='CPI(Inflation)'!$B$33,'CPI(Inflation)'!$B44,IF('CPI(Inflation)'!$E$28='CPI(Inflation)'!$C$33,'CPI(Inflation)'!$C44,IF('CPI(Inflation)'!$E$28='CPI(Inflation)'!$D$33,'CPI(Inflation)'!$D44,IF('CPI(Inflation)'!$E$28='CPI(Inflation)'!$E$33,'CPI(Inflation)'!$E44,1))))</f>
        <v>2</v>
      </c>
      <c r="AF121" s="74">
        <f t="shared" si="21"/>
        <v>2.4</v>
      </c>
      <c r="AG121" s="88">
        <f>IF(PMI!$F$11=PMI!$B$43,PMI!$B54,IF(PMI!$F$11=PMI!$C$43,PMI!$C54,IF(PMI!$F$11=PMI!$D$43,PMI!$D54,IF(PMI!$F$11=PMI!$E$43,PMI!$E54,1))))</f>
        <v>2</v>
      </c>
      <c r="AH121" s="55">
        <f>BNP!I138</f>
        <v>4</v>
      </c>
      <c r="AI121" s="55">
        <f>IF('10 yr rate'!$E$10='10 yr rate'!$B$35,'10 yr rate'!$B46,IF('10 yr rate'!$E$10='10 yr rate'!$C$35,'10 yr rate'!$C46,IF('10 yr rate'!$E$10='10 yr rate'!$D$35,'10 yr rate'!$D46,IF('10 yr rate'!$E$10='10 yr rate'!$E$35,'10 yr rate'!$E46,1))))</f>
        <v>4</v>
      </c>
      <c r="AJ121" s="55">
        <f>IF('CPI(Inflation)'!$E$29='CPI(Inflation)'!$B$33,'CPI(Inflation)'!$B44,IF('CPI(Inflation)'!$E$29='CPI(Inflation)'!$C$33,'CPI(Inflation)'!$C44,IF('CPI(Inflation)'!$E$29='CPI(Inflation)'!$D$33,'CPI(Inflation)'!$D44,IF('CPI(Inflation)'!$E$29='CPI(Inflation)'!$E$33,'CPI(Inflation)'!$E44,1))))</f>
        <v>2</v>
      </c>
      <c r="AK121" s="55">
        <f>'Baltic Dry Index'!B44</f>
        <v>2</v>
      </c>
      <c r="AL121" s="55">
        <f>IF(VIX!$F$15=VIX!$B$33,VIX!B44,IF(VIX!$F$15=VIX!$C$33,VIX!C44,IF(VIX!$F$15=VIX!$D$33,VIX!D44,IF(VIX!$F$15=VIX!$E$33,VIX!E44,1))))</f>
        <v>2</v>
      </c>
      <c r="AM121" s="55">
        <f>IF(Currency!$F$15=Currency!$B$33,Currency!B44,IF(Currency!$F$15=Currency!$C$33,Currency!C44,IF(Currency!$F$15=Currency!$D$33,Currency!D44,IF(Currency!$F$15=Currency!$E$33,Currency!E44,1))))</f>
        <v>4</v>
      </c>
      <c r="AN121" s="55">
        <f>IF(Unemployment!$F$15=Unemployment!$B$33,Unemployment!B44,IF(Unemployment!$F$15=Unemployment!$C$33,Unemployment!C44,IF(Unemployment!$F$15=Unemployment!$D$33,Unemployment!D44,IF(Unemployment!$F$15=Unemployment!$E$33,Unemployment!E44,1))))</f>
        <v>2</v>
      </c>
      <c r="AO121" s="91">
        <f t="shared" si="22"/>
        <v>2.8336000000000001</v>
      </c>
      <c r="AP121" s="88">
        <f>IF(PMI!$F$12=PMI!$B$43,PMI!$B54,IF(PMI!$F$12=PMI!$C$43,PMI!$C54,IF(PMI!$F$12=PMI!$D$44,PMI!$D54,IF(PMI!$F$12=PMI!$E$43,PMI!$E54,1))))</f>
        <v>2</v>
      </c>
      <c r="AQ121" s="55">
        <f>BNP!J138</f>
        <v>2</v>
      </c>
      <c r="AR121" s="55">
        <f>IF('10 yr rate'!$E$11='10 yr rate'!$B$35,'10 yr rate'!$B46,IF('10 yr rate'!$E$11='10 yr rate'!$C$35,'10 yr rate'!$C46,IF('10 yr rate'!$E$11='10 yr rate'!$D$35,'10 yr rate'!$D46,IF('10 yr rate'!$E$11='10 yr rate'!$E$35,'10 yr rate'!$E46,1))))</f>
        <v>4</v>
      </c>
      <c r="AS121" s="55">
        <f>IF('CPI(Inflation)'!$E$30='CPI(Inflation)'!$B$33,'CPI(Inflation)'!$B44,IF('CPI(Inflation)'!$E$30='CPI(Inflation)'!$C$33,'CPI(Inflation)'!$C44,IF('CPI(Inflation)'!$E$30='CPI(Inflation)'!$D$33,'CPI(Inflation)'!$D44,IF('CPI(Inflation)'!$E$30='CPI(Inflation)'!$E$33,'CPI(Inflation)'!$E44,1))))</f>
        <v>2</v>
      </c>
      <c r="AT121" s="55">
        <f>'Baltic Dry Index'!B44</f>
        <v>2</v>
      </c>
      <c r="AU121" s="55">
        <f>IF(VIX!$F$16=VIX!$B$33,VIX!B44,IF(VIX!$F$16=VIX!$C$33,VIX!C44,IF(VIX!$F$16=VIX!$D$33,VIX!D44,IF(VIX!$F$16=VIX!$E$33,VIX!E44,1))))</f>
        <v>5</v>
      </c>
      <c r="AV121" s="55">
        <f>IF(Currency!$F$16=Currency!$B$33,Currency!B44,IF(Currency!$F$16=Currency!$C$33,Currency!C44,IF(Currency!$F$16=Currency!$D$33,Currency!D44,IF(Currency!$F$16=Currency!$E$33,Currency!E44,1))))</f>
        <v>2</v>
      </c>
      <c r="AW121" s="55">
        <f>IF(Unemployment!$F$16=Unemployment!$B$33,Unemployment!B44,IF(Unemployment!$F$16=Unemployment!$C$33,Unemployment!C44,IF(Unemployment!$F$16=Unemployment!$D$33,Unemployment!D44,IF(Unemployment!$F$16=Unemployment!$E$33,Unemployment!E44,1))))</f>
        <v>2</v>
      </c>
      <c r="AX121" s="91">
        <f t="shared" si="23"/>
        <v>2.5004</v>
      </c>
    </row>
  </sheetData>
  <pageMargins left="0.7" right="0.7" top="0.75" bottom="0.75" header="0.3" footer="0.3"/>
  <pageSetup paperSize="8" scale="39"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2:M141"/>
  <sheetViews>
    <sheetView showGridLines="0" topLeftCell="A18" workbookViewId="0">
      <selection activeCell="D29" sqref="D29"/>
    </sheetView>
  </sheetViews>
  <sheetFormatPr defaultRowHeight="14.4" x14ac:dyDescent="0.3"/>
  <cols>
    <col min="1" max="1" width="4.6640625" customWidth="1"/>
    <col min="2" max="2" width="24.44140625" bestFit="1" customWidth="1"/>
    <col min="3" max="6" width="22.33203125" customWidth="1"/>
    <col min="7" max="8" width="17.88671875" customWidth="1"/>
    <col min="9" max="10" width="11.44140625" customWidth="1"/>
    <col min="11" max="11" width="31.33203125" bestFit="1" customWidth="1"/>
  </cols>
  <sheetData>
    <row r="2" spans="2:13" ht="18" customHeight="1" x14ac:dyDescent="0.35">
      <c r="B2" s="137" t="s">
        <v>112</v>
      </c>
      <c r="C2" s="138"/>
      <c r="D2" s="138"/>
      <c r="E2" s="138"/>
      <c r="F2" s="139"/>
      <c r="G2" s="1"/>
      <c r="H2" s="1"/>
      <c r="I2" s="1"/>
      <c r="J2" s="1"/>
      <c r="K2" s="1"/>
      <c r="L2" s="1"/>
      <c r="M2" s="1"/>
    </row>
    <row r="3" spans="2:13" x14ac:dyDescent="0.3">
      <c r="B3" s="6"/>
      <c r="C3" s="7" t="s">
        <v>113</v>
      </c>
      <c r="D3" s="7" t="s">
        <v>114</v>
      </c>
      <c r="E3" s="7" t="s">
        <v>115</v>
      </c>
      <c r="F3" s="8" t="s">
        <v>116</v>
      </c>
      <c r="G3" s="2"/>
      <c r="H3" s="2"/>
      <c r="I3" s="2"/>
      <c r="J3" s="2"/>
      <c r="K3" s="2"/>
      <c r="L3" s="2"/>
      <c r="M3" s="2"/>
    </row>
    <row r="4" spans="2:13" x14ac:dyDescent="0.3">
      <c r="B4" s="3" t="s">
        <v>9</v>
      </c>
      <c r="C4" s="9" t="s">
        <v>117</v>
      </c>
      <c r="D4" s="10"/>
      <c r="E4" s="10"/>
      <c r="F4" s="11" t="s">
        <v>118</v>
      </c>
    </row>
    <row r="5" spans="2:13" x14ac:dyDescent="0.3">
      <c r="B5" s="4" t="s">
        <v>119</v>
      </c>
      <c r="C5" s="12" t="s">
        <v>120</v>
      </c>
      <c r="D5" s="13" t="s">
        <v>118</v>
      </c>
      <c r="E5" s="14" t="s">
        <v>117</v>
      </c>
      <c r="F5" s="24" t="s">
        <v>121</v>
      </c>
    </row>
    <row r="6" spans="2:13" x14ac:dyDescent="0.3">
      <c r="B6" s="4" t="s">
        <v>122</v>
      </c>
      <c r="C6" s="12" t="s">
        <v>120</v>
      </c>
      <c r="D6" s="15"/>
      <c r="E6" s="22" t="s">
        <v>121</v>
      </c>
      <c r="F6" s="16"/>
    </row>
    <row r="7" spans="2:13" x14ac:dyDescent="0.3">
      <c r="B7" s="4" t="s">
        <v>123</v>
      </c>
      <c r="C7" s="14" t="s">
        <v>117</v>
      </c>
      <c r="D7" s="14" t="s">
        <v>117</v>
      </c>
      <c r="E7" s="13" t="s">
        <v>118</v>
      </c>
      <c r="F7" s="24" t="s">
        <v>121</v>
      </c>
    </row>
    <row r="8" spans="2:13" x14ac:dyDescent="0.3">
      <c r="B8" s="4" t="s">
        <v>124</v>
      </c>
      <c r="C8" s="12" t="s">
        <v>120</v>
      </c>
      <c r="D8" s="15"/>
      <c r="E8" s="15"/>
      <c r="F8" s="24" t="s">
        <v>121</v>
      </c>
    </row>
    <row r="9" spans="2:13" x14ac:dyDescent="0.3">
      <c r="B9" s="4" t="s">
        <v>125</v>
      </c>
      <c r="C9" s="14" t="s">
        <v>117</v>
      </c>
      <c r="D9" s="22" t="s">
        <v>121</v>
      </c>
      <c r="E9" s="15"/>
      <c r="F9" s="17" t="s">
        <v>118</v>
      </c>
    </row>
    <row r="10" spans="2:13" x14ac:dyDescent="0.3">
      <c r="B10" s="4" t="s">
        <v>126</v>
      </c>
      <c r="C10" s="22" t="s">
        <v>121</v>
      </c>
      <c r="D10" s="13" t="s">
        <v>118</v>
      </c>
      <c r="E10" s="14" t="s">
        <v>117</v>
      </c>
      <c r="F10" s="18" t="s">
        <v>120</v>
      </c>
    </row>
    <row r="11" spans="2:13" x14ac:dyDescent="0.3">
      <c r="B11" s="4" t="s">
        <v>127</v>
      </c>
      <c r="C11" s="22" t="s">
        <v>121</v>
      </c>
      <c r="D11" s="15"/>
      <c r="E11" s="15"/>
      <c r="F11" s="18" t="s">
        <v>120</v>
      </c>
    </row>
    <row r="12" spans="2:13" x14ac:dyDescent="0.3">
      <c r="B12" s="4" t="s">
        <v>128</v>
      </c>
      <c r="C12" s="22" t="s">
        <v>121</v>
      </c>
      <c r="D12" s="15"/>
      <c r="E12" s="12" t="s">
        <v>120</v>
      </c>
      <c r="F12" s="24" t="s">
        <v>121</v>
      </c>
    </row>
    <row r="13" spans="2:13" x14ac:dyDescent="0.3">
      <c r="B13" s="4" t="s">
        <v>129</v>
      </c>
      <c r="C13" s="15"/>
      <c r="D13" s="14" t="s">
        <v>117</v>
      </c>
      <c r="E13" s="15"/>
      <c r="F13" s="17" t="s">
        <v>118</v>
      </c>
    </row>
    <row r="14" spans="2:13" x14ac:dyDescent="0.3">
      <c r="B14" s="5" t="s">
        <v>130</v>
      </c>
      <c r="C14" s="23" t="s">
        <v>121</v>
      </c>
      <c r="D14" s="19" t="s">
        <v>118</v>
      </c>
      <c r="E14" s="20" t="s">
        <v>117</v>
      </c>
      <c r="F14" s="21" t="s">
        <v>120</v>
      </c>
    </row>
    <row r="15" spans="2:13" x14ac:dyDescent="0.3">
      <c r="B15" s="1"/>
    </row>
    <row r="17" spans="1:6" x14ac:dyDescent="0.3">
      <c r="B17" s="27" t="s">
        <v>131</v>
      </c>
      <c r="C17" s="28"/>
      <c r="D17" s="28"/>
      <c r="E17" s="28"/>
      <c r="F17" s="28"/>
    </row>
    <row r="19" spans="1:6" x14ac:dyDescent="0.3">
      <c r="B19" s="1" t="s">
        <v>90</v>
      </c>
    </row>
    <row r="20" spans="1:6" x14ac:dyDescent="0.3">
      <c r="B20" s="1"/>
    </row>
    <row r="21" spans="1:6" x14ac:dyDescent="0.3">
      <c r="B21" s="1"/>
      <c r="C21" s="1" t="s">
        <v>132</v>
      </c>
      <c r="D21" s="67" t="s">
        <v>133</v>
      </c>
      <c r="E21" t="s">
        <v>134</v>
      </c>
    </row>
    <row r="22" spans="1:6" x14ac:dyDescent="0.3">
      <c r="A22" s="1"/>
      <c r="B22" s="1"/>
      <c r="C22" t="s">
        <v>103</v>
      </c>
      <c r="D22" s="26">
        <v>0</v>
      </c>
      <c r="E22" t="str">
        <f t="shared" ref="E22:E29" si="0">IF(D22&lt;0,"Recession",
IF(AND(D22&gt;=D21,D22&lt;=D23),"Early",
IF(AND(D22&gt;=D21,D22&gt;=D23),"Mid",
IF(AND(D22&lt;=D21,D22&gt;0),"Late","Udefineret"))))</f>
        <v>Udefineret</v>
      </c>
    </row>
    <row r="23" spans="1:6" x14ac:dyDescent="0.3">
      <c r="C23" t="s">
        <v>104</v>
      </c>
      <c r="D23" s="25">
        <v>1.4E-2</v>
      </c>
      <c r="E23" t="str">
        <f t="shared" si="0"/>
        <v>Mid</v>
      </c>
    </row>
    <row r="24" spans="1:6" x14ac:dyDescent="0.3">
      <c r="C24" t="s">
        <v>105</v>
      </c>
      <c r="D24" s="25">
        <v>1.0999999999999999E-2</v>
      </c>
      <c r="E24" t="str">
        <f t="shared" si="0"/>
        <v>Late</v>
      </c>
    </row>
    <row r="25" spans="1:6" x14ac:dyDescent="0.3">
      <c r="C25" t="s">
        <v>135</v>
      </c>
      <c r="D25" s="25">
        <v>1.6E-2</v>
      </c>
      <c r="E25" t="str">
        <f t="shared" si="0"/>
        <v>Mid</v>
      </c>
    </row>
    <row r="26" spans="1:6" x14ac:dyDescent="0.3">
      <c r="C26" t="s">
        <v>107</v>
      </c>
      <c r="D26" s="25">
        <v>-5.0000000000000001E-3</v>
      </c>
      <c r="E26" t="str">
        <f t="shared" si="0"/>
        <v>Recession</v>
      </c>
    </row>
    <row r="27" spans="1:6" x14ac:dyDescent="0.3">
      <c r="C27" t="s">
        <v>108</v>
      </c>
      <c r="D27" s="25">
        <v>5.0000000000000001E-3</v>
      </c>
      <c r="E27" t="str">
        <f t="shared" si="0"/>
        <v>Early</v>
      </c>
    </row>
    <row r="28" spans="1:6" x14ac:dyDescent="0.3">
      <c r="C28" t="s">
        <v>91</v>
      </c>
      <c r="D28" s="25">
        <f>'Fremtid vækst'!C4</f>
        <v>0.02</v>
      </c>
      <c r="E28" t="str">
        <f t="shared" si="0"/>
        <v>Mid</v>
      </c>
    </row>
    <row r="29" spans="1:6" x14ac:dyDescent="0.3">
      <c r="C29" t="s">
        <v>92</v>
      </c>
      <c r="D29" s="25">
        <f>'Fremtid vækst'!D4</f>
        <v>1.9E-2</v>
      </c>
      <c r="E29" t="str">
        <f t="shared" si="0"/>
        <v>Late</v>
      </c>
    </row>
    <row r="30" spans="1:6" x14ac:dyDescent="0.3">
      <c r="D30" s="25"/>
    </row>
    <row r="31" spans="1:6" x14ac:dyDescent="0.3">
      <c r="D31" s="25"/>
    </row>
    <row r="32" spans="1:6" x14ac:dyDescent="0.3">
      <c r="D32" s="25"/>
    </row>
    <row r="33" spans="1:5" x14ac:dyDescent="0.3">
      <c r="D33" s="25"/>
    </row>
    <row r="34" spans="1:5" x14ac:dyDescent="0.3">
      <c r="D34" s="25"/>
    </row>
    <row r="35" spans="1:5" x14ac:dyDescent="0.3">
      <c r="B35" s="1" t="s">
        <v>101</v>
      </c>
    </row>
    <row r="36" spans="1:5" x14ac:dyDescent="0.3">
      <c r="C36" s="1" t="s">
        <v>132</v>
      </c>
      <c r="D36" s="67" t="s">
        <v>133</v>
      </c>
      <c r="E36" t="s">
        <v>134</v>
      </c>
    </row>
    <row r="37" spans="1:5" x14ac:dyDescent="0.3">
      <c r="A37" s="1"/>
      <c r="C37" t="s">
        <v>103</v>
      </c>
      <c r="D37" s="76">
        <v>3.0000000000000001E-3</v>
      </c>
      <c r="E37" t="str">
        <f t="shared" ref="E37:E44" si="1">IF(D37&lt;0,"Recession",
IF(AND(D37&gt;=D36,D37&lt;=D38),"Early",
IF(AND(D37&gt;=D36,D37&gt;=D38),"Mid",
IF(AND(D37&lt;=D36,D37&gt;0),"Late","Udefineret"))))</f>
        <v>Late</v>
      </c>
    </row>
    <row r="38" spans="1:5" x14ac:dyDescent="0.3">
      <c r="C38" t="s">
        <v>104</v>
      </c>
      <c r="D38" s="25">
        <v>3.0000000000000001E-3</v>
      </c>
      <c r="E38" t="str">
        <f t="shared" si="1"/>
        <v>Early</v>
      </c>
    </row>
    <row r="39" spans="1:5" x14ac:dyDescent="0.3">
      <c r="C39" t="s">
        <v>105</v>
      </c>
      <c r="D39" s="25">
        <v>4.0000000000000001E-3</v>
      </c>
      <c r="E39" t="str">
        <f t="shared" si="1"/>
        <v>Early</v>
      </c>
    </row>
    <row r="40" spans="1:5" x14ac:dyDescent="0.3">
      <c r="C40" t="s">
        <v>135</v>
      </c>
      <c r="D40" s="25">
        <v>4.0000000000000001E-3</v>
      </c>
      <c r="E40" t="str">
        <f t="shared" si="1"/>
        <v>Early</v>
      </c>
    </row>
    <row r="41" spans="1:5" x14ac:dyDescent="0.3">
      <c r="C41" t="s">
        <v>107</v>
      </c>
      <c r="D41" s="25">
        <v>6.0000000000000001E-3</v>
      </c>
      <c r="E41" t="str">
        <f t="shared" si="1"/>
        <v>Mid</v>
      </c>
    </row>
    <row r="42" spans="1:5" x14ac:dyDescent="0.3">
      <c r="C42" t="s">
        <v>108</v>
      </c>
      <c r="D42" s="25">
        <v>3.0000000000000001E-3</v>
      </c>
      <c r="E42" t="str">
        <f t="shared" si="1"/>
        <v>Late</v>
      </c>
    </row>
    <row r="43" spans="1:5" x14ac:dyDescent="0.3">
      <c r="C43" t="s">
        <v>91</v>
      </c>
      <c r="D43" s="68">
        <f>'Fremtid vækst'!C16</f>
        <v>1.2E-2</v>
      </c>
      <c r="E43" t="str">
        <f t="shared" si="1"/>
        <v>Early</v>
      </c>
    </row>
    <row r="44" spans="1:5" x14ac:dyDescent="0.3">
      <c r="C44" t="s">
        <v>92</v>
      </c>
      <c r="D44" s="68">
        <f>'Fremtid vækst'!D16</f>
        <v>1.3000000000000001E-2</v>
      </c>
      <c r="E44" t="str">
        <f t="shared" si="1"/>
        <v>Mid</v>
      </c>
    </row>
    <row r="48" spans="1:5" x14ac:dyDescent="0.3">
      <c r="B48" s="1" t="s">
        <v>102</v>
      </c>
    </row>
    <row r="49" spans="1:10" x14ac:dyDescent="0.3">
      <c r="C49" s="1" t="s">
        <v>132</v>
      </c>
      <c r="D49" s="67" t="s">
        <v>133</v>
      </c>
      <c r="E49" t="s">
        <v>134</v>
      </c>
    </row>
    <row r="50" spans="1:10" x14ac:dyDescent="0.3">
      <c r="A50" s="1"/>
      <c r="C50" t="s">
        <v>103</v>
      </c>
      <c r="D50" s="26">
        <v>4.7E-2</v>
      </c>
      <c r="E50" t="str">
        <f t="shared" ref="E50:E57" si="2">IF(D50&lt;0,"Recession",
IF(AND(D50&gt;=D49,D50&lt;=D51),"Early",
IF(AND(D50&gt;=D49,D50&gt;=D51),"Mid",
IF(AND(D50&lt;=D49,D50&gt;0),"Late","Udefineret"))))</f>
        <v>Late</v>
      </c>
    </row>
    <row r="51" spans="1:10" x14ac:dyDescent="0.3">
      <c r="C51" t="s">
        <v>104</v>
      </c>
      <c r="D51" s="25">
        <v>5.6000000000000001E-2</v>
      </c>
      <c r="E51" t="str">
        <f t="shared" si="2"/>
        <v>Mid</v>
      </c>
    </row>
    <row r="52" spans="1:10" x14ac:dyDescent="0.3">
      <c r="C52" t="s">
        <v>105</v>
      </c>
      <c r="D52" s="25">
        <v>0.05</v>
      </c>
      <c r="E52" t="str">
        <f t="shared" si="2"/>
        <v>Late</v>
      </c>
    </row>
    <row r="53" spans="1:10" x14ac:dyDescent="0.3">
      <c r="C53" t="s">
        <v>135</v>
      </c>
      <c r="D53" s="25">
        <v>2.4E-2</v>
      </c>
      <c r="E53" t="str">
        <f t="shared" si="2"/>
        <v>Late</v>
      </c>
    </row>
    <row r="54" spans="1:10" x14ac:dyDescent="0.3">
      <c r="C54" t="s">
        <v>107</v>
      </c>
      <c r="D54" s="25">
        <v>-5.0000000000000001E-3</v>
      </c>
      <c r="E54" t="str">
        <f t="shared" si="2"/>
        <v>Recession</v>
      </c>
    </row>
    <row r="55" spans="1:10" x14ac:dyDescent="0.3">
      <c r="C55" t="s">
        <v>108</v>
      </c>
      <c r="D55" s="25">
        <v>2.5999999999999999E-2</v>
      </c>
      <c r="E55" t="str">
        <f t="shared" si="2"/>
        <v>Mid</v>
      </c>
    </row>
    <row r="56" spans="1:10" x14ac:dyDescent="0.3">
      <c r="C56" t="s">
        <v>91</v>
      </c>
      <c r="D56" s="25">
        <f>'Fremtid vækst'!C28</f>
        <v>1.7000000000000001E-2</v>
      </c>
      <c r="E56" t="str">
        <f t="shared" si="2"/>
        <v>Late</v>
      </c>
    </row>
    <row r="57" spans="1:10" x14ac:dyDescent="0.3">
      <c r="C57" t="s">
        <v>92</v>
      </c>
      <c r="D57" s="25">
        <f>'Fremtid vækst'!D28</f>
        <v>1.8000000000000002E-2</v>
      </c>
      <c r="E57" t="str">
        <f t="shared" si="2"/>
        <v>Mid</v>
      </c>
    </row>
    <row r="61" spans="1:10" x14ac:dyDescent="0.3">
      <c r="B61" s="28"/>
      <c r="C61" s="29" t="str">
        <f>C22</f>
        <v>Q1 2024</v>
      </c>
      <c r="D61" s="29" t="str">
        <f>C23</f>
        <v>Q2 2024</v>
      </c>
      <c r="E61" s="29" t="str">
        <f>C24</f>
        <v>Q3 2024</v>
      </c>
      <c r="F61" s="29" t="str">
        <f>C25</f>
        <v>Q4 2024</v>
      </c>
      <c r="G61" s="29" t="str">
        <f>C26</f>
        <v>Q1 2025</v>
      </c>
      <c r="H61" s="29" t="str">
        <f>C27</f>
        <v>Q2 2025</v>
      </c>
      <c r="I61" s="29" t="s">
        <v>91</v>
      </c>
      <c r="J61" s="1" t="s">
        <v>92</v>
      </c>
    </row>
    <row r="62" spans="1:10" x14ac:dyDescent="0.3">
      <c r="B62" s="29" t="s">
        <v>90</v>
      </c>
      <c r="C62" s="28" t="str">
        <f>E22</f>
        <v>Udefineret</v>
      </c>
      <c r="D62" s="28" t="str">
        <f>E23</f>
        <v>Mid</v>
      </c>
      <c r="E62" s="28" t="str">
        <f>E24</f>
        <v>Late</v>
      </c>
      <c r="F62" s="28" t="str">
        <f>E25</f>
        <v>Mid</v>
      </c>
      <c r="G62" s="28" t="str">
        <f>E26</f>
        <v>Recession</v>
      </c>
      <c r="H62" s="28" t="str">
        <f>E27</f>
        <v>Early</v>
      </c>
      <c r="I62" s="28" t="str">
        <f>E28</f>
        <v>Mid</v>
      </c>
      <c r="J62" s="31" t="str">
        <f>E29</f>
        <v>Late</v>
      </c>
    </row>
    <row r="63" spans="1:10" x14ac:dyDescent="0.3">
      <c r="B63" s="30" t="s">
        <v>136</v>
      </c>
      <c r="C63" s="31" t="str">
        <f>E37</f>
        <v>Late</v>
      </c>
      <c r="D63" s="31" t="str">
        <f>E38</f>
        <v>Early</v>
      </c>
      <c r="E63" s="31" t="str">
        <f>E39</f>
        <v>Early</v>
      </c>
      <c r="F63" s="31" t="str">
        <f>E40</f>
        <v>Early</v>
      </c>
      <c r="G63" s="31" t="str">
        <f>E41</f>
        <v>Mid</v>
      </c>
      <c r="H63" s="31" t="str">
        <f>E42</f>
        <v>Late</v>
      </c>
      <c r="I63" s="31" t="str">
        <f>E43</f>
        <v>Early</v>
      </c>
      <c r="J63" s="31" t="str">
        <f>E44</f>
        <v>Mid</v>
      </c>
    </row>
    <row r="64" spans="1:10" x14ac:dyDescent="0.3">
      <c r="B64" s="30" t="s">
        <v>102</v>
      </c>
      <c r="C64" s="31" t="str">
        <f>E50</f>
        <v>Late</v>
      </c>
      <c r="D64" s="31" t="str">
        <f>E51</f>
        <v>Mid</v>
      </c>
      <c r="E64" s="31" t="str">
        <f>E52</f>
        <v>Late</v>
      </c>
      <c r="F64" s="31" t="str">
        <f>E53</f>
        <v>Late</v>
      </c>
      <c r="G64" s="31" t="str">
        <f>E54</f>
        <v>Recession</v>
      </c>
      <c r="H64" s="31" t="str">
        <f>E55</f>
        <v>Mid</v>
      </c>
      <c r="I64" s="31" t="str">
        <f>E56</f>
        <v>Late</v>
      </c>
      <c r="J64" s="31" t="str">
        <f>E57</f>
        <v>Mid</v>
      </c>
    </row>
    <row r="82" spans="2:10" x14ac:dyDescent="0.3">
      <c r="B82" s="29" t="s">
        <v>137</v>
      </c>
      <c r="C82" s="28"/>
      <c r="D82" s="28"/>
      <c r="E82" s="28"/>
      <c r="F82" s="28"/>
      <c r="G82" s="28"/>
      <c r="H82" s="28"/>
    </row>
    <row r="85" spans="2:10" x14ac:dyDescent="0.3">
      <c r="B85" s="1" t="str">
        <f>B4</f>
        <v>Financials</v>
      </c>
      <c r="C85" s="2" t="str">
        <f t="shared" ref="C85:H85" si="3">C61</f>
        <v>Q1 2024</v>
      </c>
      <c r="D85" s="2" t="str">
        <f t="shared" si="3"/>
        <v>Q2 2024</v>
      </c>
      <c r="E85" s="2" t="str">
        <f t="shared" si="3"/>
        <v>Q3 2024</v>
      </c>
      <c r="F85" s="2" t="str">
        <f t="shared" si="3"/>
        <v>Q4 2024</v>
      </c>
      <c r="G85" s="2" t="str">
        <f t="shared" si="3"/>
        <v>Q1 2025</v>
      </c>
      <c r="H85" s="2" t="str">
        <f t="shared" si="3"/>
        <v>Q2 2025</v>
      </c>
      <c r="I85" s="1" t="s">
        <v>91</v>
      </c>
      <c r="J85" s="1" t="s">
        <v>92</v>
      </c>
    </row>
    <row r="86" spans="2:10" x14ac:dyDescent="0.3">
      <c r="B86" t="str">
        <f>$B$62</f>
        <v>Danmark</v>
      </c>
      <c r="C86" s="39">
        <f>IF(C62="++", 5, IF(C62="+", 4, IF(C62="-", 2, IF(C62="--", 1, 3))))</f>
        <v>3</v>
      </c>
      <c r="D86" s="39">
        <f t="shared" ref="D86:J86" si="4">IF(D62="++", 5, IF(D62="Early", 4, IF(D62="Recession", 2, IF(D62="--", 1, 3))))</f>
        <v>3</v>
      </c>
      <c r="E86" s="39">
        <f t="shared" si="4"/>
        <v>3</v>
      </c>
      <c r="F86" s="39">
        <f t="shared" si="4"/>
        <v>3</v>
      </c>
      <c r="G86" s="39">
        <f t="shared" si="4"/>
        <v>2</v>
      </c>
      <c r="H86" s="39">
        <f t="shared" si="4"/>
        <v>4</v>
      </c>
      <c r="I86" s="39">
        <f t="shared" si="4"/>
        <v>3</v>
      </c>
      <c r="J86" s="39">
        <f t="shared" si="4"/>
        <v>3</v>
      </c>
    </row>
    <row r="87" spans="2:10" x14ac:dyDescent="0.3">
      <c r="B87" t="str">
        <f>$B$63</f>
        <v xml:space="preserve">Europa </v>
      </c>
      <c r="C87" s="39">
        <f>IF(C63="++", 5, IF(C63="+", 4, IF(C63="-", 2, IF(C63="--", 1, 3))))</f>
        <v>3</v>
      </c>
      <c r="D87" s="39">
        <f t="shared" ref="D87:J88" si="5">IF(D63="++", 5, IF(D63="+", 4, IF(D63="-", 2, IF(D63="--", 1, 3))))</f>
        <v>3</v>
      </c>
      <c r="E87" s="39">
        <f t="shared" si="5"/>
        <v>3</v>
      </c>
      <c r="F87" s="39">
        <f t="shared" si="5"/>
        <v>3</v>
      </c>
      <c r="G87" s="39">
        <f t="shared" si="5"/>
        <v>3</v>
      </c>
      <c r="H87" s="39">
        <f t="shared" si="5"/>
        <v>3</v>
      </c>
      <c r="I87" s="39">
        <f t="shared" si="5"/>
        <v>3</v>
      </c>
      <c r="J87" s="39">
        <f t="shared" si="5"/>
        <v>3</v>
      </c>
    </row>
    <row r="88" spans="2:10" x14ac:dyDescent="0.3">
      <c r="B88" s="28" t="str">
        <f>$B$64</f>
        <v>USA</v>
      </c>
      <c r="C88" s="40">
        <f>IF(C64="++", 5, IF(C64="+", 4, IF(C64="-", 2, IF(C64="--", 1, 3))))</f>
        <v>3</v>
      </c>
      <c r="D88" s="40">
        <f t="shared" si="5"/>
        <v>3</v>
      </c>
      <c r="E88" s="40">
        <f t="shared" si="5"/>
        <v>3</v>
      </c>
      <c r="F88" s="40">
        <f t="shared" si="5"/>
        <v>3</v>
      </c>
      <c r="G88" s="40">
        <f t="shared" si="5"/>
        <v>3</v>
      </c>
      <c r="H88" s="40">
        <f t="shared" si="5"/>
        <v>3</v>
      </c>
      <c r="I88" s="40">
        <f t="shared" si="5"/>
        <v>3</v>
      </c>
      <c r="J88" s="40">
        <f t="shared" si="5"/>
        <v>3</v>
      </c>
    </row>
    <row r="89" spans="2:10" x14ac:dyDescent="0.3">
      <c r="B89" s="1"/>
      <c r="C89" s="39"/>
      <c r="D89" s="39"/>
      <c r="E89" s="39"/>
      <c r="F89" s="39"/>
      <c r="G89" s="39"/>
      <c r="H89" s="39"/>
      <c r="J89" s="1"/>
    </row>
    <row r="90" spans="2:10" x14ac:dyDescent="0.3">
      <c r="B90" s="1" t="str">
        <f>B5</f>
        <v>Real estate</v>
      </c>
      <c r="C90" s="2" t="str">
        <f>$C$85</f>
        <v>Q1 2024</v>
      </c>
      <c r="D90" s="2" t="str">
        <f>$D$85</f>
        <v>Q2 2024</v>
      </c>
      <c r="E90" s="2" t="str">
        <f>$E$85</f>
        <v>Q3 2024</v>
      </c>
      <c r="F90" s="2" t="str">
        <f>$F$85</f>
        <v>Q4 2024</v>
      </c>
      <c r="G90" s="2" t="str">
        <f>$G$85</f>
        <v>Q1 2025</v>
      </c>
      <c r="H90" s="2" t="str">
        <f>$H$85</f>
        <v>Q2 2025</v>
      </c>
      <c r="I90" s="2" t="str">
        <f>$I$85</f>
        <v>Q3 2025</v>
      </c>
      <c r="J90" s="1" t="str">
        <f>J85</f>
        <v>Q4 2025</v>
      </c>
    </row>
    <row r="91" spans="2:10" x14ac:dyDescent="0.3">
      <c r="B91" t="str">
        <f>$B$62</f>
        <v>Danmark</v>
      </c>
      <c r="C91" s="39">
        <f t="shared" ref="C91:J93" si="6">IF(C62="Early", 5, IF(C62="Late", 4, IF(C62="Mid", 2, IF(C62="Recession", 1, 3))))</f>
        <v>3</v>
      </c>
      <c r="D91" s="39">
        <f t="shared" si="6"/>
        <v>2</v>
      </c>
      <c r="E91" s="39">
        <f t="shared" si="6"/>
        <v>4</v>
      </c>
      <c r="F91" s="39">
        <f t="shared" si="6"/>
        <v>2</v>
      </c>
      <c r="G91" s="39">
        <f t="shared" si="6"/>
        <v>1</v>
      </c>
      <c r="H91" s="39">
        <f t="shared" si="6"/>
        <v>5</v>
      </c>
      <c r="I91" s="39">
        <f t="shared" si="6"/>
        <v>2</v>
      </c>
      <c r="J91" s="39">
        <f t="shared" si="6"/>
        <v>4</v>
      </c>
    </row>
    <row r="92" spans="2:10" x14ac:dyDescent="0.3">
      <c r="B92" t="str">
        <f>$B$63</f>
        <v xml:space="preserve">Europa </v>
      </c>
      <c r="C92" s="39">
        <f t="shared" si="6"/>
        <v>4</v>
      </c>
      <c r="D92" s="39">
        <f t="shared" si="6"/>
        <v>5</v>
      </c>
      <c r="E92" s="39">
        <f t="shared" si="6"/>
        <v>5</v>
      </c>
      <c r="F92" s="39">
        <f t="shared" si="6"/>
        <v>5</v>
      </c>
      <c r="G92" s="39">
        <f t="shared" si="6"/>
        <v>2</v>
      </c>
      <c r="H92" s="39">
        <f t="shared" si="6"/>
        <v>4</v>
      </c>
      <c r="I92" s="39">
        <f t="shared" si="6"/>
        <v>5</v>
      </c>
      <c r="J92" s="39">
        <f t="shared" si="6"/>
        <v>2</v>
      </c>
    </row>
    <row r="93" spans="2:10" x14ac:dyDescent="0.3">
      <c r="B93" s="28" t="str">
        <f>$B$64</f>
        <v>USA</v>
      </c>
      <c r="C93" s="40">
        <f t="shared" si="6"/>
        <v>4</v>
      </c>
      <c r="D93" s="40">
        <f t="shared" si="6"/>
        <v>2</v>
      </c>
      <c r="E93" s="40">
        <f t="shared" si="6"/>
        <v>4</v>
      </c>
      <c r="F93" s="40">
        <f t="shared" si="6"/>
        <v>4</v>
      </c>
      <c r="G93" s="40">
        <f t="shared" si="6"/>
        <v>1</v>
      </c>
      <c r="H93" s="40">
        <f t="shared" si="6"/>
        <v>2</v>
      </c>
      <c r="I93" s="40">
        <f t="shared" si="6"/>
        <v>4</v>
      </c>
      <c r="J93" s="40">
        <f t="shared" si="6"/>
        <v>2</v>
      </c>
    </row>
    <row r="94" spans="2:10" x14ac:dyDescent="0.3">
      <c r="B94" s="1"/>
      <c r="C94" s="39"/>
      <c r="D94" s="39"/>
      <c r="E94" s="39"/>
      <c r="F94" s="39"/>
      <c r="G94" s="39"/>
      <c r="H94" s="39"/>
      <c r="J94" s="1"/>
    </row>
    <row r="95" spans="2:10" x14ac:dyDescent="0.3">
      <c r="B95" s="1" t="str">
        <f>B6</f>
        <v>Consumer discretionary</v>
      </c>
      <c r="C95" s="2" t="str">
        <f>$C$85</f>
        <v>Q1 2024</v>
      </c>
      <c r="D95" s="2" t="str">
        <f>$D$85</f>
        <v>Q2 2024</v>
      </c>
      <c r="E95" s="2" t="str">
        <f>$E$85</f>
        <v>Q3 2024</v>
      </c>
      <c r="F95" s="2" t="str">
        <f>$F$85</f>
        <v>Q4 2024</v>
      </c>
      <c r="G95" s="2" t="str">
        <f>$G$85</f>
        <v>Q1 2025</v>
      </c>
      <c r="H95" s="2" t="str">
        <f>$H$85</f>
        <v>Q2 2025</v>
      </c>
      <c r="I95" s="2" t="str">
        <f>$I$85</f>
        <v>Q3 2025</v>
      </c>
      <c r="J95" s="1" t="str">
        <f>J90</f>
        <v>Q4 2025</v>
      </c>
    </row>
    <row r="96" spans="2:10" x14ac:dyDescent="0.3">
      <c r="B96" t="str">
        <f>$B$62</f>
        <v>Danmark</v>
      </c>
      <c r="C96" s="39">
        <f t="shared" ref="C96:J98" si="7">IF(C62="Early", 5, IF(C62="+", 4, IF(C62="-", 2, IF(C62="Late", 1, 3))))</f>
        <v>3</v>
      </c>
      <c r="D96" s="39">
        <f t="shared" si="7"/>
        <v>3</v>
      </c>
      <c r="E96" s="39">
        <f t="shared" si="7"/>
        <v>1</v>
      </c>
      <c r="F96" s="39">
        <f t="shared" si="7"/>
        <v>3</v>
      </c>
      <c r="G96" s="39">
        <f t="shared" si="7"/>
        <v>3</v>
      </c>
      <c r="H96" s="39">
        <f t="shared" si="7"/>
        <v>5</v>
      </c>
      <c r="I96" s="39">
        <f t="shared" si="7"/>
        <v>3</v>
      </c>
      <c r="J96" s="39">
        <f t="shared" si="7"/>
        <v>1</v>
      </c>
    </row>
    <row r="97" spans="2:10" x14ac:dyDescent="0.3">
      <c r="B97" t="str">
        <f>$B$63</f>
        <v xml:space="preserve">Europa </v>
      </c>
      <c r="C97" s="39">
        <f t="shared" si="7"/>
        <v>1</v>
      </c>
      <c r="D97" s="39">
        <f t="shared" si="7"/>
        <v>5</v>
      </c>
      <c r="E97" s="39">
        <f t="shared" si="7"/>
        <v>5</v>
      </c>
      <c r="F97" s="39">
        <f t="shared" si="7"/>
        <v>5</v>
      </c>
      <c r="G97" s="39">
        <f t="shared" si="7"/>
        <v>3</v>
      </c>
      <c r="H97" s="39">
        <f t="shared" si="7"/>
        <v>1</v>
      </c>
      <c r="I97" s="39">
        <f t="shared" si="7"/>
        <v>5</v>
      </c>
      <c r="J97" s="39">
        <f t="shared" si="7"/>
        <v>3</v>
      </c>
    </row>
    <row r="98" spans="2:10" x14ac:dyDescent="0.3">
      <c r="B98" s="28" t="str">
        <f>$B$64</f>
        <v>USA</v>
      </c>
      <c r="C98" s="40">
        <f t="shared" si="7"/>
        <v>1</v>
      </c>
      <c r="D98" s="40">
        <f t="shared" si="7"/>
        <v>3</v>
      </c>
      <c r="E98" s="40">
        <f t="shared" si="7"/>
        <v>1</v>
      </c>
      <c r="F98" s="40">
        <f t="shared" si="7"/>
        <v>1</v>
      </c>
      <c r="G98" s="40">
        <f t="shared" si="7"/>
        <v>3</v>
      </c>
      <c r="H98" s="40">
        <f t="shared" si="7"/>
        <v>3</v>
      </c>
      <c r="I98" s="40">
        <f t="shared" si="7"/>
        <v>1</v>
      </c>
      <c r="J98" s="40">
        <f t="shared" si="7"/>
        <v>3</v>
      </c>
    </row>
    <row r="99" spans="2:10" x14ac:dyDescent="0.3">
      <c r="B99" s="1"/>
      <c r="C99" s="39"/>
      <c r="D99" s="39"/>
      <c r="E99" s="39"/>
      <c r="F99" s="39"/>
      <c r="G99" s="39"/>
      <c r="H99" s="39"/>
      <c r="J99" s="1"/>
    </row>
    <row r="100" spans="2:10" x14ac:dyDescent="0.3">
      <c r="B100" s="1" t="str">
        <f>B7</f>
        <v>infomation technology</v>
      </c>
      <c r="C100" s="2" t="str">
        <f>$C$85</f>
        <v>Q1 2024</v>
      </c>
      <c r="D100" s="2" t="str">
        <f>$D$85</f>
        <v>Q2 2024</v>
      </c>
      <c r="E100" s="2" t="str">
        <f>$E$85</f>
        <v>Q3 2024</v>
      </c>
      <c r="F100" s="2" t="str">
        <f>$F$85</f>
        <v>Q4 2024</v>
      </c>
      <c r="G100" s="2" t="str">
        <f>$G$85</f>
        <v>Q1 2025</v>
      </c>
      <c r="H100" s="2" t="str">
        <f>$H$85</f>
        <v>Q2 2025</v>
      </c>
      <c r="I100" s="2" t="str">
        <f>$I$85</f>
        <v>Q3 2025</v>
      </c>
      <c r="J100" s="1" t="str">
        <f>J95</f>
        <v>Q4 2025</v>
      </c>
    </row>
    <row r="101" spans="2:10" x14ac:dyDescent="0.3">
      <c r="B101" t="str">
        <f>$B$62</f>
        <v>Danmark</v>
      </c>
      <c r="C101" s="39">
        <f t="shared" ref="C101:J103" si="8">IF(C62="++", 5,
IF(OR(C62="Early", C62="Mid"), 4,
IF(C62="Late", 2,
IF(C62="Recession", 1, 3))))</f>
        <v>3</v>
      </c>
      <c r="D101" s="39">
        <f t="shared" si="8"/>
        <v>4</v>
      </c>
      <c r="E101" s="39">
        <f t="shared" si="8"/>
        <v>2</v>
      </c>
      <c r="F101" s="39">
        <f t="shared" si="8"/>
        <v>4</v>
      </c>
      <c r="G101" s="39">
        <f t="shared" si="8"/>
        <v>1</v>
      </c>
      <c r="H101" s="39">
        <f t="shared" si="8"/>
        <v>4</v>
      </c>
      <c r="I101" s="39">
        <f t="shared" si="8"/>
        <v>4</v>
      </c>
      <c r="J101" s="39">
        <f t="shared" si="8"/>
        <v>2</v>
      </c>
    </row>
    <row r="102" spans="2:10" x14ac:dyDescent="0.3">
      <c r="B102" t="str">
        <f>$B$63</f>
        <v xml:space="preserve">Europa </v>
      </c>
      <c r="C102" s="39">
        <f t="shared" si="8"/>
        <v>2</v>
      </c>
      <c r="D102" s="39">
        <f t="shared" si="8"/>
        <v>4</v>
      </c>
      <c r="E102" s="39">
        <f t="shared" si="8"/>
        <v>4</v>
      </c>
      <c r="F102" s="39">
        <f t="shared" si="8"/>
        <v>4</v>
      </c>
      <c r="G102" s="39">
        <f t="shared" si="8"/>
        <v>4</v>
      </c>
      <c r="H102" s="39">
        <f t="shared" si="8"/>
        <v>2</v>
      </c>
      <c r="I102" s="39">
        <f t="shared" si="8"/>
        <v>4</v>
      </c>
      <c r="J102" s="39">
        <f t="shared" si="8"/>
        <v>4</v>
      </c>
    </row>
    <row r="103" spans="2:10" x14ac:dyDescent="0.3">
      <c r="B103" s="28" t="str">
        <f>$B$64</f>
        <v>USA</v>
      </c>
      <c r="C103" s="40">
        <f t="shared" si="8"/>
        <v>2</v>
      </c>
      <c r="D103" s="40">
        <f t="shared" si="8"/>
        <v>4</v>
      </c>
      <c r="E103" s="40">
        <f t="shared" si="8"/>
        <v>2</v>
      </c>
      <c r="F103" s="40">
        <f t="shared" si="8"/>
        <v>2</v>
      </c>
      <c r="G103" s="40">
        <f t="shared" si="8"/>
        <v>1</v>
      </c>
      <c r="H103" s="40">
        <f t="shared" si="8"/>
        <v>4</v>
      </c>
      <c r="I103" s="40">
        <f t="shared" si="8"/>
        <v>2</v>
      </c>
      <c r="J103" s="40">
        <f t="shared" si="8"/>
        <v>4</v>
      </c>
    </row>
    <row r="104" spans="2:10" x14ac:dyDescent="0.3">
      <c r="B104" s="1"/>
      <c r="C104" s="39"/>
      <c r="D104" s="39"/>
      <c r="E104" s="39"/>
      <c r="F104" s="39"/>
      <c r="G104" s="39"/>
      <c r="H104" s="39"/>
      <c r="J104" s="1"/>
    </row>
    <row r="105" spans="2:10" x14ac:dyDescent="0.3">
      <c r="B105" s="1" t="str">
        <f>B8</f>
        <v>industrials</v>
      </c>
      <c r="C105" s="2" t="str">
        <f>$C$85</f>
        <v>Q1 2024</v>
      </c>
      <c r="D105" s="2" t="str">
        <f>$D$85</f>
        <v>Q2 2024</v>
      </c>
      <c r="E105" s="2" t="str">
        <f>$E$85</f>
        <v>Q3 2024</v>
      </c>
      <c r="F105" s="2" t="str">
        <f>$F$85</f>
        <v>Q4 2024</v>
      </c>
      <c r="G105" s="2" t="str">
        <f>$G$85</f>
        <v>Q1 2025</v>
      </c>
      <c r="H105" s="2" t="str">
        <f>$H$85</f>
        <v>Q2 2025</v>
      </c>
      <c r="I105" s="2" t="str">
        <f>$I$85</f>
        <v>Q3 2025</v>
      </c>
      <c r="J105" s="1" t="str">
        <f>J100</f>
        <v>Q4 2025</v>
      </c>
    </row>
    <row r="106" spans="2:10" x14ac:dyDescent="0.3">
      <c r="B106" t="str">
        <f>$B$62</f>
        <v>Danmark</v>
      </c>
      <c r="C106" s="39">
        <f t="shared" ref="C106:J108" si="9">IF(C62="Early", 5, IF(C62="+", 4, IF(C62="-", 2, IF(C62="Recession", 1, 3))))</f>
        <v>3</v>
      </c>
      <c r="D106" s="39">
        <f t="shared" si="9"/>
        <v>3</v>
      </c>
      <c r="E106" s="39">
        <f t="shared" si="9"/>
        <v>3</v>
      </c>
      <c r="F106" s="39">
        <f t="shared" si="9"/>
        <v>3</v>
      </c>
      <c r="G106" s="39">
        <f t="shared" si="9"/>
        <v>1</v>
      </c>
      <c r="H106" s="39">
        <f t="shared" si="9"/>
        <v>5</v>
      </c>
      <c r="I106" s="39">
        <f t="shared" si="9"/>
        <v>3</v>
      </c>
      <c r="J106" s="39">
        <f t="shared" si="9"/>
        <v>3</v>
      </c>
    </row>
    <row r="107" spans="2:10" x14ac:dyDescent="0.3">
      <c r="B107" t="str">
        <f>$B$63</f>
        <v xml:space="preserve">Europa </v>
      </c>
      <c r="C107" s="39">
        <f t="shared" si="9"/>
        <v>3</v>
      </c>
      <c r="D107" s="39">
        <f t="shared" si="9"/>
        <v>5</v>
      </c>
      <c r="E107" s="39">
        <f t="shared" si="9"/>
        <v>5</v>
      </c>
      <c r="F107" s="39">
        <f t="shared" si="9"/>
        <v>5</v>
      </c>
      <c r="G107" s="39">
        <f t="shared" si="9"/>
        <v>3</v>
      </c>
      <c r="H107" s="39">
        <f t="shared" si="9"/>
        <v>3</v>
      </c>
      <c r="I107" s="39">
        <f t="shared" si="9"/>
        <v>5</v>
      </c>
      <c r="J107" s="39">
        <f t="shared" si="9"/>
        <v>3</v>
      </c>
    </row>
    <row r="108" spans="2:10" x14ac:dyDescent="0.3">
      <c r="B108" s="28" t="str">
        <f>$B$64</f>
        <v>USA</v>
      </c>
      <c r="C108" s="40">
        <f t="shared" si="9"/>
        <v>3</v>
      </c>
      <c r="D108" s="40">
        <f t="shared" si="9"/>
        <v>3</v>
      </c>
      <c r="E108" s="40">
        <f t="shared" si="9"/>
        <v>3</v>
      </c>
      <c r="F108" s="40">
        <f t="shared" si="9"/>
        <v>3</v>
      </c>
      <c r="G108" s="40">
        <f t="shared" si="9"/>
        <v>1</v>
      </c>
      <c r="H108" s="40">
        <f t="shared" si="9"/>
        <v>3</v>
      </c>
      <c r="I108" s="40">
        <f t="shared" si="9"/>
        <v>3</v>
      </c>
      <c r="J108" s="40">
        <f t="shared" si="9"/>
        <v>3</v>
      </c>
    </row>
    <row r="109" spans="2:10" x14ac:dyDescent="0.3">
      <c r="B109" s="1"/>
      <c r="C109" s="39"/>
      <c r="D109" s="39"/>
      <c r="E109" s="39"/>
      <c r="F109" s="39"/>
      <c r="G109" s="39"/>
      <c r="H109" s="39"/>
      <c r="J109" s="1"/>
    </row>
    <row r="110" spans="2:10" x14ac:dyDescent="0.3">
      <c r="B110" s="1" t="str">
        <f>B9</f>
        <v>materials</v>
      </c>
      <c r="C110" s="2" t="str">
        <f>$C$85</f>
        <v>Q1 2024</v>
      </c>
      <c r="D110" s="2" t="str">
        <f>$D$85</f>
        <v>Q2 2024</v>
      </c>
      <c r="E110" s="2" t="str">
        <f>$E$85</f>
        <v>Q3 2024</v>
      </c>
      <c r="F110" s="2" t="str">
        <f>$F$85</f>
        <v>Q4 2024</v>
      </c>
      <c r="G110" s="2" t="str">
        <f>$G$85</f>
        <v>Q1 2025</v>
      </c>
      <c r="H110" s="2" t="str">
        <f>$H$85</f>
        <v>Q2 2025</v>
      </c>
      <c r="I110" s="2" t="str">
        <f>$I$85</f>
        <v>Q3 2025</v>
      </c>
      <c r="J110" s="1" t="str">
        <f>J105</f>
        <v>Q4 2025</v>
      </c>
    </row>
    <row r="111" spans="2:10" x14ac:dyDescent="0.3">
      <c r="B111" t="str">
        <f>$B$62</f>
        <v>Danmark</v>
      </c>
      <c r="C111" s="39">
        <f t="shared" ref="C111:J113" si="10">IF(C62="++", 5, IF(C62="Early", 4, IF(C62="Recession", 2, IF(C62="Mid", 1, 3))))</f>
        <v>3</v>
      </c>
      <c r="D111" s="39">
        <f t="shared" si="10"/>
        <v>1</v>
      </c>
      <c r="E111" s="39">
        <f t="shared" si="10"/>
        <v>3</v>
      </c>
      <c r="F111" s="39">
        <f t="shared" si="10"/>
        <v>1</v>
      </c>
      <c r="G111" s="39">
        <f t="shared" si="10"/>
        <v>2</v>
      </c>
      <c r="H111" s="39">
        <f t="shared" si="10"/>
        <v>4</v>
      </c>
      <c r="I111" s="39">
        <f t="shared" si="10"/>
        <v>1</v>
      </c>
      <c r="J111" s="39">
        <f t="shared" si="10"/>
        <v>3</v>
      </c>
    </row>
    <row r="112" spans="2:10" x14ac:dyDescent="0.3">
      <c r="B112" t="str">
        <f>$B$63</f>
        <v xml:space="preserve">Europa </v>
      </c>
      <c r="C112" s="39">
        <f t="shared" si="10"/>
        <v>3</v>
      </c>
      <c r="D112" s="39">
        <f t="shared" si="10"/>
        <v>4</v>
      </c>
      <c r="E112" s="39">
        <f t="shared" si="10"/>
        <v>4</v>
      </c>
      <c r="F112" s="39">
        <f t="shared" si="10"/>
        <v>4</v>
      </c>
      <c r="G112" s="39">
        <f t="shared" si="10"/>
        <v>1</v>
      </c>
      <c r="H112" s="39">
        <f t="shared" si="10"/>
        <v>3</v>
      </c>
      <c r="I112" s="39">
        <f t="shared" si="10"/>
        <v>4</v>
      </c>
      <c r="J112" s="39">
        <f t="shared" si="10"/>
        <v>1</v>
      </c>
    </row>
    <row r="113" spans="2:10" x14ac:dyDescent="0.3">
      <c r="B113" s="28" t="str">
        <f>$B$64</f>
        <v>USA</v>
      </c>
      <c r="C113" s="40">
        <f t="shared" si="10"/>
        <v>3</v>
      </c>
      <c r="D113" s="40">
        <f t="shared" si="10"/>
        <v>1</v>
      </c>
      <c r="E113" s="40">
        <f t="shared" si="10"/>
        <v>3</v>
      </c>
      <c r="F113" s="40">
        <f t="shared" si="10"/>
        <v>3</v>
      </c>
      <c r="G113" s="40">
        <f t="shared" si="10"/>
        <v>2</v>
      </c>
      <c r="H113" s="40">
        <f t="shared" si="10"/>
        <v>1</v>
      </c>
      <c r="I113" s="40">
        <f t="shared" si="10"/>
        <v>3</v>
      </c>
      <c r="J113" s="40">
        <f t="shared" si="10"/>
        <v>1</v>
      </c>
    </row>
    <row r="114" spans="2:10" x14ac:dyDescent="0.3">
      <c r="B114" s="1"/>
      <c r="C114" s="39"/>
      <c r="D114" s="39"/>
      <c r="E114" s="39"/>
      <c r="F114" s="39"/>
      <c r="G114" s="39"/>
      <c r="H114" s="39"/>
      <c r="J114" s="1"/>
    </row>
    <row r="115" spans="2:10" x14ac:dyDescent="0.3">
      <c r="B115" s="1" t="str">
        <f>B10</f>
        <v>consumer staples</v>
      </c>
      <c r="C115" s="2" t="str">
        <f>$C$85</f>
        <v>Q1 2024</v>
      </c>
      <c r="D115" s="2" t="str">
        <f>$D$85</f>
        <v>Q2 2024</v>
      </c>
      <c r="E115" s="2" t="str">
        <f>$E$85</f>
        <v>Q3 2024</v>
      </c>
      <c r="F115" s="2" t="str">
        <f>$F$85</f>
        <v>Q4 2024</v>
      </c>
      <c r="G115" s="2" t="str">
        <f>$G$85</f>
        <v>Q1 2025</v>
      </c>
      <c r="H115" s="2" t="str">
        <f>$H$85</f>
        <v>Q2 2025</v>
      </c>
      <c r="I115" s="2" t="str">
        <f>$I$85</f>
        <v>Q3 2025</v>
      </c>
      <c r="J115" s="1" t="str">
        <f>J110</f>
        <v>Q4 2025</v>
      </c>
    </row>
    <row r="116" spans="2:10" x14ac:dyDescent="0.3">
      <c r="B116" t="str">
        <f>$B$62</f>
        <v>Danmark</v>
      </c>
      <c r="C116" s="39">
        <f t="shared" ref="C116:J118" si="11">IF(C62="Recession", 5, IF(C62="Late", 4, IF(C62="Mid", 2, IF(C62="recession", 1, 3))))</f>
        <v>3</v>
      </c>
      <c r="D116" s="39">
        <f t="shared" si="11"/>
        <v>2</v>
      </c>
      <c r="E116" s="39">
        <f t="shared" si="11"/>
        <v>4</v>
      </c>
      <c r="F116" s="39">
        <f t="shared" si="11"/>
        <v>2</v>
      </c>
      <c r="G116" s="39">
        <f t="shared" si="11"/>
        <v>5</v>
      </c>
      <c r="H116" s="39">
        <f t="shared" si="11"/>
        <v>3</v>
      </c>
      <c r="I116" s="39">
        <f t="shared" si="11"/>
        <v>2</v>
      </c>
      <c r="J116" s="39">
        <f t="shared" si="11"/>
        <v>4</v>
      </c>
    </row>
    <row r="117" spans="2:10" x14ac:dyDescent="0.3">
      <c r="B117" t="str">
        <f>$B$63</f>
        <v xml:space="preserve">Europa </v>
      </c>
      <c r="C117" s="39">
        <f t="shared" si="11"/>
        <v>4</v>
      </c>
      <c r="D117" s="39">
        <f t="shared" si="11"/>
        <v>3</v>
      </c>
      <c r="E117" s="39">
        <f t="shared" si="11"/>
        <v>3</v>
      </c>
      <c r="F117" s="39">
        <f t="shared" si="11"/>
        <v>3</v>
      </c>
      <c r="G117" s="39">
        <f t="shared" si="11"/>
        <v>2</v>
      </c>
      <c r="H117" s="39">
        <f t="shared" si="11"/>
        <v>4</v>
      </c>
      <c r="I117" s="39">
        <f t="shared" si="11"/>
        <v>3</v>
      </c>
      <c r="J117" s="39">
        <f t="shared" si="11"/>
        <v>2</v>
      </c>
    </row>
    <row r="118" spans="2:10" x14ac:dyDescent="0.3">
      <c r="B118" s="28" t="str">
        <f>$B$64</f>
        <v>USA</v>
      </c>
      <c r="C118" s="40">
        <f t="shared" si="11"/>
        <v>4</v>
      </c>
      <c r="D118" s="40">
        <f t="shared" si="11"/>
        <v>2</v>
      </c>
      <c r="E118" s="40">
        <f t="shared" si="11"/>
        <v>4</v>
      </c>
      <c r="F118" s="40">
        <f t="shared" si="11"/>
        <v>4</v>
      </c>
      <c r="G118" s="40">
        <f t="shared" si="11"/>
        <v>5</v>
      </c>
      <c r="H118" s="40">
        <f t="shared" si="11"/>
        <v>2</v>
      </c>
      <c r="I118" s="40">
        <f t="shared" si="11"/>
        <v>4</v>
      </c>
      <c r="J118" s="40">
        <f t="shared" si="11"/>
        <v>2</v>
      </c>
    </row>
    <row r="119" spans="2:10" x14ac:dyDescent="0.3">
      <c r="B119" s="1"/>
      <c r="C119" s="39"/>
      <c r="D119" s="39"/>
      <c r="E119" s="39"/>
      <c r="F119" s="39"/>
      <c r="G119" s="39"/>
      <c r="H119" s="39"/>
      <c r="J119" s="1"/>
    </row>
    <row r="120" spans="2:10" x14ac:dyDescent="0.3">
      <c r="B120" s="1" t="str">
        <f>B11</f>
        <v>health care</v>
      </c>
      <c r="C120" s="2" t="str">
        <f>$C$85</f>
        <v>Q1 2024</v>
      </c>
      <c r="D120" s="2" t="str">
        <f>$D$85</f>
        <v>Q2 2024</v>
      </c>
      <c r="E120" s="2" t="str">
        <f>$E$85</f>
        <v>Q3 2024</v>
      </c>
      <c r="F120" s="2" t="str">
        <f>$F$85</f>
        <v>Q4 2024</v>
      </c>
      <c r="G120" s="2" t="str">
        <f>$G$85</f>
        <v>Q1 2025</v>
      </c>
      <c r="H120" s="2" t="str">
        <f>$H$85</f>
        <v>Q2 2025</v>
      </c>
      <c r="I120" s="2" t="str">
        <f>$I$85</f>
        <v>Q3 2025</v>
      </c>
      <c r="J120" s="1" t="str">
        <f>J115</f>
        <v>Q4 2025</v>
      </c>
    </row>
    <row r="121" spans="2:10" x14ac:dyDescent="0.3">
      <c r="B121" t="str">
        <f>$B$62</f>
        <v>Danmark</v>
      </c>
      <c r="C121" s="39">
        <f t="shared" ref="C121:J123" si="12">IF(C62="Recession", 5, IF(C62="+", 4, IF(C62="-", 2, IF(C62="Early", 1, 3))))</f>
        <v>3</v>
      </c>
      <c r="D121" s="39">
        <f t="shared" si="12"/>
        <v>3</v>
      </c>
      <c r="E121" s="39">
        <f t="shared" si="12"/>
        <v>3</v>
      </c>
      <c r="F121" s="39">
        <f t="shared" si="12"/>
        <v>3</v>
      </c>
      <c r="G121" s="39">
        <f t="shared" si="12"/>
        <v>5</v>
      </c>
      <c r="H121" s="39">
        <f t="shared" si="12"/>
        <v>1</v>
      </c>
      <c r="I121" s="39">
        <f t="shared" si="12"/>
        <v>3</v>
      </c>
      <c r="J121" s="39">
        <f t="shared" si="12"/>
        <v>3</v>
      </c>
    </row>
    <row r="122" spans="2:10" x14ac:dyDescent="0.3">
      <c r="B122" t="str">
        <f>$B$63</f>
        <v xml:space="preserve">Europa </v>
      </c>
      <c r="C122" s="39">
        <f t="shared" si="12"/>
        <v>3</v>
      </c>
      <c r="D122" s="39">
        <f t="shared" si="12"/>
        <v>1</v>
      </c>
      <c r="E122" s="39">
        <f t="shared" si="12"/>
        <v>1</v>
      </c>
      <c r="F122" s="39">
        <f t="shared" si="12"/>
        <v>1</v>
      </c>
      <c r="G122" s="39">
        <f t="shared" si="12"/>
        <v>3</v>
      </c>
      <c r="H122" s="39">
        <f t="shared" si="12"/>
        <v>3</v>
      </c>
      <c r="I122" s="39">
        <f t="shared" si="12"/>
        <v>1</v>
      </c>
      <c r="J122" s="39">
        <f t="shared" si="12"/>
        <v>3</v>
      </c>
    </row>
    <row r="123" spans="2:10" x14ac:dyDescent="0.3">
      <c r="B123" s="28" t="str">
        <f>$B$64</f>
        <v>USA</v>
      </c>
      <c r="C123" s="40">
        <f t="shared" si="12"/>
        <v>3</v>
      </c>
      <c r="D123" s="40">
        <f t="shared" si="12"/>
        <v>3</v>
      </c>
      <c r="E123" s="40">
        <f t="shared" si="12"/>
        <v>3</v>
      </c>
      <c r="F123" s="40">
        <f t="shared" si="12"/>
        <v>3</v>
      </c>
      <c r="G123" s="40">
        <f t="shared" si="12"/>
        <v>5</v>
      </c>
      <c r="H123" s="40">
        <f t="shared" si="12"/>
        <v>3</v>
      </c>
      <c r="I123" s="40">
        <f t="shared" si="12"/>
        <v>3</v>
      </c>
      <c r="J123" s="40">
        <f t="shared" si="12"/>
        <v>3</v>
      </c>
    </row>
    <row r="124" spans="2:10" x14ac:dyDescent="0.3">
      <c r="B124" s="1"/>
      <c r="C124" s="39"/>
      <c r="D124" s="39"/>
      <c r="E124" s="39"/>
      <c r="F124" s="39"/>
      <c r="G124" s="39"/>
      <c r="H124" s="39"/>
      <c r="J124" s="1"/>
    </row>
    <row r="125" spans="2:10" x14ac:dyDescent="0.3">
      <c r="B125" s="1" t="str">
        <f>B12</f>
        <v>energy</v>
      </c>
      <c r="C125" s="2" t="str">
        <f>$C$85</f>
        <v>Q1 2024</v>
      </c>
      <c r="D125" s="2" t="str">
        <f>$D$85</f>
        <v>Q2 2024</v>
      </c>
      <c r="E125" s="2" t="str">
        <f>$E$85</f>
        <v>Q3 2024</v>
      </c>
      <c r="F125" s="2" t="str">
        <f>$F$85</f>
        <v>Q4 2024</v>
      </c>
      <c r="G125" s="2" t="str">
        <f>$G$85</f>
        <v>Q1 2025</v>
      </c>
      <c r="H125" s="2" t="str">
        <f>$H$85</f>
        <v>Q2 2025</v>
      </c>
      <c r="I125" s="2" t="str">
        <f>$I$85</f>
        <v>Q3 2025</v>
      </c>
      <c r="J125" s="1" t="str">
        <f>J120</f>
        <v>Q4 2025</v>
      </c>
    </row>
    <row r="126" spans="2:10" x14ac:dyDescent="0.3">
      <c r="B126" t="str">
        <f>$B$62</f>
        <v>Danmark</v>
      </c>
      <c r="C126" s="39">
        <f t="shared" ref="C126:J128" si="13">IF(C62="Late", 5,
IF(C62="+", 4,
IF(C62="-", 2,
IF(OR(C62="Early", C62="Recession"), 1, 3))))</f>
        <v>3</v>
      </c>
      <c r="D126" s="39">
        <f t="shared" si="13"/>
        <v>3</v>
      </c>
      <c r="E126" s="39">
        <f t="shared" si="13"/>
        <v>5</v>
      </c>
      <c r="F126" s="39">
        <f t="shared" si="13"/>
        <v>3</v>
      </c>
      <c r="G126" s="39">
        <f t="shared" si="13"/>
        <v>1</v>
      </c>
      <c r="H126" s="39">
        <f t="shared" si="13"/>
        <v>1</v>
      </c>
      <c r="I126" s="39">
        <f t="shared" si="13"/>
        <v>3</v>
      </c>
      <c r="J126" s="39">
        <f t="shared" si="13"/>
        <v>5</v>
      </c>
    </row>
    <row r="127" spans="2:10" x14ac:dyDescent="0.3">
      <c r="B127" t="str">
        <f>$B$63</f>
        <v xml:space="preserve">Europa </v>
      </c>
      <c r="C127" s="39">
        <f t="shared" si="13"/>
        <v>5</v>
      </c>
      <c r="D127" s="39">
        <f t="shared" si="13"/>
        <v>1</v>
      </c>
      <c r="E127" s="39">
        <f t="shared" si="13"/>
        <v>1</v>
      </c>
      <c r="F127" s="39">
        <f t="shared" si="13"/>
        <v>1</v>
      </c>
      <c r="G127" s="39">
        <f t="shared" si="13"/>
        <v>3</v>
      </c>
      <c r="H127" s="39">
        <f t="shared" si="13"/>
        <v>5</v>
      </c>
      <c r="I127" s="39">
        <f t="shared" si="13"/>
        <v>1</v>
      </c>
      <c r="J127" s="39">
        <f t="shared" si="13"/>
        <v>3</v>
      </c>
    </row>
    <row r="128" spans="2:10" x14ac:dyDescent="0.3">
      <c r="B128" s="28" t="str">
        <f>$B$64</f>
        <v>USA</v>
      </c>
      <c r="C128" s="40">
        <f t="shared" si="13"/>
        <v>5</v>
      </c>
      <c r="D128" s="40">
        <f t="shared" si="13"/>
        <v>3</v>
      </c>
      <c r="E128" s="40">
        <f t="shared" si="13"/>
        <v>5</v>
      </c>
      <c r="F128" s="40">
        <f t="shared" si="13"/>
        <v>5</v>
      </c>
      <c r="G128" s="40">
        <f t="shared" si="13"/>
        <v>1</v>
      </c>
      <c r="H128" s="40">
        <f t="shared" si="13"/>
        <v>3</v>
      </c>
      <c r="I128" s="40">
        <f t="shared" si="13"/>
        <v>5</v>
      </c>
      <c r="J128" s="40">
        <f t="shared" si="13"/>
        <v>3</v>
      </c>
    </row>
    <row r="129" spans="2:10" x14ac:dyDescent="0.3">
      <c r="B129" s="1"/>
      <c r="C129" s="39"/>
      <c r="D129" s="39"/>
      <c r="E129" s="39"/>
      <c r="F129" s="39"/>
      <c r="G129" s="39"/>
      <c r="H129" s="39"/>
      <c r="J129" s="1"/>
    </row>
    <row r="130" spans="2:10" x14ac:dyDescent="0.3">
      <c r="B130" s="1" t="str">
        <f>B13</f>
        <v xml:space="preserve">communications sercives </v>
      </c>
      <c r="C130" s="2" t="str">
        <f>$C$85</f>
        <v>Q1 2024</v>
      </c>
      <c r="D130" s="2" t="str">
        <f>$D$85</f>
        <v>Q2 2024</v>
      </c>
      <c r="E130" s="2" t="str">
        <f>$E$85</f>
        <v>Q3 2024</v>
      </c>
      <c r="F130" s="2" t="str">
        <f>$F$85</f>
        <v>Q4 2024</v>
      </c>
      <c r="G130" s="2" t="str">
        <f>$G$85</f>
        <v>Q1 2025</v>
      </c>
      <c r="H130" s="2" t="str">
        <f>$H$85</f>
        <v>Q2 2025</v>
      </c>
      <c r="I130" s="2" t="str">
        <f>$I$85</f>
        <v>Q3 2025</v>
      </c>
      <c r="J130" s="1" t="str">
        <f>J125</f>
        <v>Q4 2025</v>
      </c>
    </row>
    <row r="131" spans="2:10" x14ac:dyDescent="0.3">
      <c r="B131" t="str">
        <f>$B$62</f>
        <v>Danmark</v>
      </c>
      <c r="C131" s="39">
        <f t="shared" ref="C131:J133" si="14">IF(C62="++", 5, IF(C62="Mid", 4, IF(C62="Recession", 2, IF(C62="--", 1, 3))))</f>
        <v>3</v>
      </c>
      <c r="D131" s="39">
        <f t="shared" si="14"/>
        <v>4</v>
      </c>
      <c r="E131" s="39">
        <f t="shared" si="14"/>
        <v>3</v>
      </c>
      <c r="F131" s="39">
        <f t="shared" si="14"/>
        <v>4</v>
      </c>
      <c r="G131" s="39">
        <f t="shared" si="14"/>
        <v>2</v>
      </c>
      <c r="H131" s="39">
        <f t="shared" si="14"/>
        <v>3</v>
      </c>
      <c r="I131" s="39">
        <f t="shared" si="14"/>
        <v>4</v>
      </c>
      <c r="J131" s="39">
        <f t="shared" si="14"/>
        <v>3</v>
      </c>
    </row>
    <row r="132" spans="2:10" x14ac:dyDescent="0.3">
      <c r="B132" t="str">
        <f>$B$63</f>
        <v xml:space="preserve">Europa </v>
      </c>
      <c r="C132" s="39">
        <f t="shared" si="14"/>
        <v>3</v>
      </c>
      <c r="D132" s="39">
        <f t="shared" si="14"/>
        <v>3</v>
      </c>
      <c r="E132" s="39">
        <f t="shared" si="14"/>
        <v>3</v>
      </c>
      <c r="F132" s="39">
        <f t="shared" si="14"/>
        <v>3</v>
      </c>
      <c r="G132" s="39">
        <f t="shared" si="14"/>
        <v>4</v>
      </c>
      <c r="H132" s="39">
        <f t="shared" si="14"/>
        <v>3</v>
      </c>
      <c r="I132" s="39">
        <f t="shared" si="14"/>
        <v>3</v>
      </c>
      <c r="J132" s="39">
        <f t="shared" si="14"/>
        <v>4</v>
      </c>
    </row>
    <row r="133" spans="2:10" x14ac:dyDescent="0.3">
      <c r="B133" s="28" t="str">
        <f>$B$64</f>
        <v>USA</v>
      </c>
      <c r="C133" s="40">
        <f t="shared" si="14"/>
        <v>3</v>
      </c>
      <c r="D133" s="40">
        <f t="shared" si="14"/>
        <v>4</v>
      </c>
      <c r="E133" s="40">
        <f t="shared" si="14"/>
        <v>3</v>
      </c>
      <c r="F133" s="40">
        <f t="shared" si="14"/>
        <v>3</v>
      </c>
      <c r="G133" s="40">
        <f t="shared" si="14"/>
        <v>2</v>
      </c>
      <c r="H133" s="40">
        <f t="shared" si="14"/>
        <v>4</v>
      </c>
      <c r="I133" s="40">
        <f t="shared" si="14"/>
        <v>3</v>
      </c>
      <c r="J133" s="40">
        <f t="shared" si="14"/>
        <v>4</v>
      </c>
    </row>
    <row r="134" spans="2:10" x14ac:dyDescent="0.3">
      <c r="B134" s="1"/>
      <c r="C134" s="39"/>
      <c r="D134" s="39"/>
      <c r="E134" s="39"/>
      <c r="F134" s="39"/>
      <c r="G134" s="39"/>
      <c r="H134" s="39"/>
      <c r="J134" s="1"/>
    </row>
    <row r="135" spans="2:10" x14ac:dyDescent="0.3">
      <c r="B135" s="1" t="str">
        <f>B14</f>
        <v>utilities</v>
      </c>
      <c r="C135" s="2" t="str">
        <f>$C$85</f>
        <v>Q1 2024</v>
      </c>
      <c r="D135" s="2" t="str">
        <f>$D$85</f>
        <v>Q2 2024</v>
      </c>
      <c r="E135" s="2" t="str">
        <f>$E$85</f>
        <v>Q3 2024</v>
      </c>
      <c r="F135" s="2" t="str">
        <f>$F$85</f>
        <v>Q4 2024</v>
      </c>
      <c r="G135" s="2" t="str">
        <f>$G$85</f>
        <v>Q1 2025</v>
      </c>
      <c r="H135" s="2" t="str">
        <f>$H$85</f>
        <v>Q2 2025</v>
      </c>
      <c r="I135" s="2" t="str">
        <f>$I$85</f>
        <v>Q3 2025</v>
      </c>
      <c r="J135" s="1" t="str">
        <f>J130</f>
        <v>Q4 2025</v>
      </c>
    </row>
    <row r="136" spans="2:10" x14ac:dyDescent="0.3">
      <c r="B136" t="str">
        <f>$B$62</f>
        <v>Danmark</v>
      </c>
      <c r="C136" s="39">
        <f t="shared" ref="C136:J138" si="15">IF(C62="Recession", 5, IF(C62="Late", 4, IF(C62="Mid", 2, IF(C62="Early", 1, 3))))</f>
        <v>3</v>
      </c>
      <c r="D136" s="39">
        <f t="shared" si="15"/>
        <v>2</v>
      </c>
      <c r="E136" s="39">
        <f t="shared" si="15"/>
        <v>4</v>
      </c>
      <c r="F136" s="39">
        <f t="shared" si="15"/>
        <v>2</v>
      </c>
      <c r="G136" s="39">
        <f t="shared" si="15"/>
        <v>5</v>
      </c>
      <c r="H136" s="39">
        <f t="shared" si="15"/>
        <v>1</v>
      </c>
      <c r="I136" s="39">
        <f t="shared" si="15"/>
        <v>2</v>
      </c>
      <c r="J136" s="39">
        <f t="shared" si="15"/>
        <v>4</v>
      </c>
    </row>
    <row r="137" spans="2:10" x14ac:dyDescent="0.3">
      <c r="B137" t="str">
        <f>$B$63</f>
        <v xml:space="preserve">Europa </v>
      </c>
      <c r="C137" s="39">
        <f t="shared" si="15"/>
        <v>4</v>
      </c>
      <c r="D137" s="39">
        <f t="shared" si="15"/>
        <v>1</v>
      </c>
      <c r="E137" s="39">
        <f t="shared" si="15"/>
        <v>1</v>
      </c>
      <c r="F137" s="39">
        <f t="shared" si="15"/>
        <v>1</v>
      </c>
      <c r="G137" s="39">
        <f t="shared" si="15"/>
        <v>2</v>
      </c>
      <c r="H137" s="39">
        <f t="shared" si="15"/>
        <v>4</v>
      </c>
      <c r="I137" s="39">
        <f t="shared" si="15"/>
        <v>1</v>
      </c>
      <c r="J137" s="39">
        <f t="shared" si="15"/>
        <v>2</v>
      </c>
    </row>
    <row r="138" spans="2:10" x14ac:dyDescent="0.3">
      <c r="B138" s="28" t="str">
        <f>$B$64</f>
        <v>USA</v>
      </c>
      <c r="C138" s="40">
        <f t="shared" si="15"/>
        <v>4</v>
      </c>
      <c r="D138" s="40">
        <f t="shared" si="15"/>
        <v>2</v>
      </c>
      <c r="E138" s="40">
        <f t="shared" si="15"/>
        <v>4</v>
      </c>
      <c r="F138" s="40">
        <f t="shared" si="15"/>
        <v>4</v>
      </c>
      <c r="G138" s="40">
        <f t="shared" si="15"/>
        <v>5</v>
      </c>
      <c r="H138" s="40">
        <f t="shared" si="15"/>
        <v>2</v>
      </c>
      <c r="I138" s="40">
        <f t="shared" si="15"/>
        <v>4</v>
      </c>
      <c r="J138" s="40">
        <f t="shared" si="15"/>
        <v>2</v>
      </c>
    </row>
    <row r="141" spans="2:10" x14ac:dyDescent="0.3">
      <c r="B141" s="1"/>
    </row>
  </sheetData>
  <mergeCells count="1">
    <mergeCell ref="B2:F2"/>
  </mergeCells>
  <conditionalFormatting sqref="C62:I64">
    <cfRule type="cellIs" dxfId="7" priority="9" operator="equal">
      <formula>"Recession"</formula>
    </cfRule>
    <cfRule type="cellIs" dxfId="6" priority="10" operator="equal">
      <formula>"Mid"</formula>
    </cfRule>
    <cfRule type="cellIs" dxfId="5" priority="11" operator="equal">
      <formula>"late"</formula>
    </cfRule>
    <cfRule type="cellIs" dxfId="4" priority="12" operator="equal">
      <formula>"Early"</formula>
    </cfRule>
  </conditionalFormatting>
  <conditionalFormatting sqref="J63:J64">
    <cfRule type="cellIs" dxfId="3" priority="1" operator="equal">
      <formula>"Recession"</formula>
    </cfRule>
    <cfRule type="cellIs" dxfId="2" priority="2" operator="equal">
      <formula>"Mid"</formula>
    </cfRule>
    <cfRule type="cellIs" dxfId="1" priority="3" operator="equal">
      <formula>"late"</formula>
    </cfRule>
    <cfRule type="cellIs" dxfId="0" priority="4" operator="equal">
      <formula>"Early"</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tint="4.9989318521683403E-2"/>
  </sheetPr>
  <dimension ref="A1"/>
  <sheetViews>
    <sheetView workbookViewId="0">
      <selection activeCell="H26" sqref="H26"/>
    </sheetView>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4:N63"/>
  <sheetViews>
    <sheetView zoomScale="70" workbookViewId="0">
      <selection activeCell="E36" sqref="E36"/>
    </sheetView>
  </sheetViews>
  <sheetFormatPr defaultRowHeight="14.4" x14ac:dyDescent="0.3"/>
  <cols>
    <col min="1" max="1" width="21.109375" bestFit="1" customWidth="1"/>
    <col min="4" max="4" width="7.6640625" bestFit="1" customWidth="1"/>
    <col min="5" max="6" width="15.33203125" bestFit="1" customWidth="1"/>
    <col min="7" max="7" width="12" bestFit="1" customWidth="1"/>
  </cols>
  <sheetData>
    <row r="4" spans="4:7" x14ac:dyDescent="0.3">
      <c r="D4" s="37" t="s">
        <v>138</v>
      </c>
      <c r="E4" s="37" t="s">
        <v>139</v>
      </c>
      <c r="F4" s="1" t="s">
        <v>134</v>
      </c>
      <c r="G4" s="1" t="s">
        <v>140</v>
      </c>
    </row>
    <row r="5" spans="4:7" x14ac:dyDescent="0.3">
      <c r="D5" s="36" t="s">
        <v>103</v>
      </c>
      <c r="E5" s="38">
        <v>48.7</v>
      </c>
      <c r="F5" t="str">
        <f t="shared" ref="F5:F12" si="0">IF(E5&lt;45,"Recession",
IF(E5&lt;50,"Early",
IF(E5&lt;55,"Mid",
"Late")))</f>
        <v>Early</v>
      </c>
    </row>
    <row r="6" spans="4:7" x14ac:dyDescent="0.3">
      <c r="D6" s="36" t="s">
        <v>104</v>
      </c>
      <c r="E6" s="38">
        <v>47.7</v>
      </c>
      <c r="F6" t="str">
        <f t="shared" si="0"/>
        <v>Early</v>
      </c>
    </row>
    <row r="7" spans="4:7" x14ac:dyDescent="0.3">
      <c r="D7" s="36" t="s">
        <v>105</v>
      </c>
      <c r="E7" s="38">
        <v>47.6</v>
      </c>
      <c r="F7" t="str">
        <f t="shared" si="0"/>
        <v>Early</v>
      </c>
    </row>
    <row r="8" spans="4:7" x14ac:dyDescent="0.3">
      <c r="D8" s="36" t="s">
        <v>135</v>
      </c>
      <c r="E8" s="38">
        <v>48.6</v>
      </c>
      <c r="F8" t="str">
        <f t="shared" si="0"/>
        <v>Early</v>
      </c>
    </row>
    <row r="9" spans="4:7" x14ac:dyDescent="0.3">
      <c r="D9" s="36" t="s">
        <v>107</v>
      </c>
      <c r="E9" s="38">
        <v>50.1</v>
      </c>
      <c r="F9" t="str">
        <f t="shared" si="0"/>
        <v>Mid</v>
      </c>
    </row>
    <row r="10" spans="4:7" x14ac:dyDescent="0.3">
      <c r="D10" s="36" t="s">
        <v>108</v>
      </c>
      <c r="E10" s="38">
        <v>49.2</v>
      </c>
      <c r="F10" t="str">
        <f t="shared" si="0"/>
        <v>Early</v>
      </c>
    </row>
    <row r="11" spans="4:7" x14ac:dyDescent="0.3">
      <c r="D11" s="36" t="s">
        <v>91</v>
      </c>
      <c r="E11">
        <f>'Fremtid vækst'!C29</f>
        <v>52.8</v>
      </c>
      <c r="F11" t="str">
        <f t="shared" si="0"/>
        <v>Mid</v>
      </c>
    </row>
    <row r="12" spans="4:7" x14ac:dyDescent="0.3">
      <c r="D12" s="36" t="s">
        <v>92</v>
      </c>
      <c r="E12">
        <f>'Fremtid vækst'!D29</f>
        <v>52.5</v>
      </c>
      <c r="F12" t="str">
        <f t="shared" si="0"/>
        <v>Mid</v>
      </c>
    </row>
    <row r="14" spans="4:7" x14ac:dyDescent="0.3">
      <c r="D14" s="37" t="s">
        <v>138</v>
      </c>
      <c r="E14" s="37" t="s">
        <v>141</v>
      </c>
      <c r="F14" s="1" t="s">
        <v>134</v>
      </c>
    </row>
    <row r="15" spans="4:7" x14ac:dyDescent="0.3">
      <c r="D15" s="36" t="s">
        <v>103</v>
      </c>
      <c r="E15" s="36">
        <v>49.3</v>
      </c>
      <c r="F15" t="str">
        <f t="shared" ref="F15:F22" si="1">IF(E15&lt;45,"Recession",
IF(E15&lt;50,"Early",
IF(E15&lt;55,"Mid",
"Late")))</f>
        <v>Early</v>
      </c>
    </row>
    <row r="16" spans="4:7" x14ac:dyDescent="0.3">
      <c r="D16" s="36" t="s">
        <v>104</v>
      </c>
      <c r="E16" s="36">
        <v>49</v>
      </c>
      <c r="F16" t="str">
        <f t="shared" si="1"/>
        <v>Early</v>
      </c>
    </row>
    <row r="17" spans="4:6" x14ac:dyDescent="0.3">
      <c r="D17" s="36" t="s">
        <v>105</v>
      </c>
      <c r="E17" s="36">
        <v>49.5</v>
      </c>
      <c r="F17" t="str">
        <f t="shared" si="1"/>
        <v>Early</v>
      </c>
    </row>
    <row r="18" spans="4:6" x14ac:dyDescent="0.3">
      <c r="D18" s="36" t="s">
        <v>135</v>
      </c>
      <c r="E18" s="36">
        <v>49.9</v>
      </c>
      <c r="F18" t="str">
        <f t="shared" si="1"/>
        <v>Early</v>
      </c>
    </row>
    <row r="19" spans="4:6" x14ac:dyDescent="0.3">
      <c r="D19" s="36" t="s">
        <v>107</v>
      </c>
      <c r="E19" s="36">
        <v>50</v>
      </c>
      <c r="F19" t="str">
        <f t="shared" si="1"/>
        <v>Mid</v>
      </c>
    </row>
    <row r="20" spans="4:6" x14ac:dyDescent="0.3">
      <c r="D20" s="36" t="s">
        <v>108</v>
      </c>
      <c r="E20" s="36">
        <v>50</v>
      </c>
      <c r="F20" t="str">
        <f t="shared" si="1"/>
        <v>Mid</v>
      </c>
    </row>
    <row r="21" spans="4:6" x14ac:dyDescent="0.3">
      <c r="D21" s="36" t="s">
        <v>91</v>
      </c>
      <c r="E21">
        <f>'Fremtid vækst'!C17</f>
        <v>52.4</v>
      </c>
      <c r="F21" t="str">
        <f t="shared" si="1"/>
        <v>Mid</v>
      </c>
    </row>
    <row r="22" spans="4:6" x14ac:dyDescent="0.3">
      <c r="D22" s="36" t="s">
        <v>92</v>
      </c>
      <c r="E22">
        <f>'Fremtid vækst'!D17</f>
        <v>52.3</v>
      </c>
      <c r="F22" t="str">
        <f t="shared" si="1"/>
        <v>Mid</v>
      </c>
    </row>
    <row r="24" spans="4:6" x14ac:dyDescent="0.3">
      <c r="D24" s="37" t="s">
        <v>138</v>
      </c>
      <c r="E24" s="37" t="s">
        <v>142</v>
      </c>
      <c r="F24" s="1" t="s">
        <v>134</v>
      </c>
    </row>
    <row r="25" spans="4:6" x14ac:dyDescent="0.3">
      <c r="D25" s="36" t="s">
        <v>103</v>
      </c>
      <c r="E25" s="36">
        <v>48.7</v>
      </c>
      <c r="F25" t="str">
        <f t="shared" ref="F25:F32" si="2">IF(E25&lt;45,"Recession",
IF(E25&lt;50,"Early",
IF(E25&lt;55,"Mid",
"Late")))</f>
        <v>Early</v>
      </c>
    </row>
    <row r="26" spans="4:6" x14ac:dyDescent="0.3">
      <c r="D26" s="36" t="s">
        <v>104</v>
      </c>
      <c r="E26" s="36">
        <v>47.7</v>
      </c>
      <c r="F26" t="str">
        <f t="shared" si="2"/>
        <v>Early</v>
      </c>
    </row>
    <row r="27" spans="4:6" x14ac:dyDescent="0.3">
      <c r="D27" s="36" t="s">
        <v>105</v>
      </c>
      <c r="E27" s="36">
        <v>47.6</v>
      </c>
      <c r="F27" t="str">
        <f t="shared" si="2"/>
        <v>Early</v>
      </c>
    </row>
    <row r="28" spans="4:6" x14ac:dyDescent="0.3">
      <c r="D28" s="36" t="s">
        <v>135</v>
      </c>
      <c r="E28" s="36">
        <v>48.6</v>
      </c>
      <c r="F28" t="str">
        <f t="shared" si="2"/>
        <v>Early</v>
      </c>
    </row>
    <row r="29" spans="4:6" x14ac:dyDescent="0.3">
      <c r="D29" s="36" t="s">
        <v>107</v>
      </c>
      <c r="E29" s="36">
        <v>50.1</v>
      </c>
      <c r="F29" t="str">
        <f t="shared" si="2"/>
        <v>Mid</v>
      </c>
    </row>
    <row r="30" spans="4:6" x14ac:dyDescent="0.3">
      <c r="D30" s="36" t="s">
        <v>108</v>
      </c>
      <c r="E30" s="36">
        <v>49.2</v>
      </c>
      <c r="F30" t="str">
        <f t="shared" si="2"/>
        <v>Early</v>
      </c>
    </row>
    <row r="31" spans="4:6" x14ac:dyDescent="0.3">
      <c r="D31" s="36" t="s">
        <v>91</v>
      </c>
      <c r="E31">
        <f>'Fremtid vækst'!C5</f>
        <v>52</v>
      </c>
      <c r="F31" t="str">
        <f t="shared" si="2"/>
        <v>Mid</v>
      </c>
    </row>
    <row r="32" spans="4:6" x14ac:dyDescent="0.3">
      <c r="D32" s="36" t="s">
        <v>92</v>
      </c>
      <c r="E32">
        <f>'Fremtid vækst'!D5</f>
        <v>52.5</v>
      </c>
      <c r="F32" t="str">
        <f t="shared" si="2"/>
        <v>Mid</v>
      </c>
    </row>
    <row r="36" spans="1:5" x14ac:dyDescent="0.3">
      <c r="E36" t="s">
        <v>254</v>
      </c>
    </row>
    <row r="43" spans="1:5" x14ac:dyDescent="0.3">
      <c r="A43" s="41" t="s">
        <v>7</v>
      </c>
      <c r="B43" s="41" t="s">
        <v>113</v>
      </c>
      <c r="C43" s="41" t="s">
        <v>114</v>
      </c>
      <c r="D43" s="41" t="s">
        <v>115</v>
      </c>
      <c r="E43" s="41" t="s">
        <v>116</v>
      </c>
    </row>
    <row r="44" spans="1:5" x14ac:dyDescent="0.3">
      <c r="A44" t="s">
        <v>9</v>
      </c>
      <c r="B44">
        <v>4</v>
      </c>
      <c r="C44">
        <v>4</v>
      </c>
      <c r="D44">
        <v>2</v>
      </c>
      <c r="E44">
        <v>1</v>
      </c>
    </row>
    <row r="45" spans="1:5" x14ac:dyDescent="0.3">
      <c r="A45" t="s">
        <v>10</v>
      </c>
      <c r="B45">
        <v>5</v>
      </c>
      <c r="C45">
        <v>2</v>
      </c>
      <c r="D45">
        <v>3</v>
      </c>
      <c r="E45">
        <v>1</v>
      </c>
    </row>
    <row r="46" spans="1:5" x14ac:dyDescent="0.3">
      <c r="A46" t="s">
        <v>11</v>
      </c>
      <c r="B46">
        <v>5</v>
      </c>
      <c r="C46">
        <v>4</v>
      </c>
      <c r="D46">
        <v>2</v>
      </c>
      <c r="E46">
        <v>1</v>
      </c>
    </row>
    <row r="47" spans="1:5" x14ac:dyDescent="0.3">
      <c r="A47" t="s">
        <v>12</v>
      </c>
      <c r="B47">
        <v>4</v>
      </c>
      <c r="C47">
        <v>5</v>
      </c>
      <c r="D47">
        <v>3</v>
      </c>
      <c r="E47">
        <v>1</v>
      </c>
    </row>
    <row r="48" spans="1:5" x14ac:dyDescent="0.3">
      <c r="A48" t="s">
        <v>13</v>
      </c>
      <c r="B48">
        <v>5</v>
      </c>
      <c r="C48">
        <v>4</v>
      </c>
      <c r="D48">
        <v>2</v>
      </c>
      <c r="E48">
        <v>1</v>
      </c>
    </row>
    <row r="49" spans="1:14" x14ac:dyDescent="0.3">
      <c r="A49" t="s">
        <v>14</v>
      </c>
      <c r="B49">
        <v>4</v>
      </c>
      <c r="C49">
        <v>2</v>
      </c>
      <c r="D49">
        <v>3</v>
      </c>
      <c r="E49">
        <v>2</v>
      </c>
    </row>
    <row r="50" spans="1:14" x14ac:dyDescent="0.3">
      <c r="A50" t="s">
        <v>15</v>
      </c>
      <c r="B50">
        <v>2</v>
      </c>
      <c r="C50">
        <v>2</v>
      </c>
      <c r="D50">
        <v>4</v>
      </c>
      <c r="E50">
        <v>5</v>
      </c>
    </row>
    <row r="51" spans="1:14" x14ac:dyDescent="0.3">
      <c r="A51" t="s">
        <v>16</v>
      </c>
      <c r="B51">
        <v>2</v>
      </c>
      <c r="C51">
        <v>3</v>
      </c>
      <c r="D51">
        <v>3</v>
      </c>
      <c r="E51">
        <v>5</v>
      </c>
    </row>
    <row r="52" spans="1:14" x14ac:dyDescent="0.3">
      <c r="A52" t="s">
        <v>17</v>
      </c>
      <c r="B52">
        <v>2</v>
      </c>
      <c r="C52">
        <v>3</v>
      </c>
      <c r="D52">
        <v>5</v>
      </c>
      <c r="E52">
        <v>1</v>
      </c>
    </row>
    <row r="53" spans="1:14" x14ac:dyDescent="0.3">
      <c r="A53" t="s">
        <v>143</v>
      </c>
      <c r="B53">
        <v>3</v>
      </c>
      <c r="C53">
        <v>4</v>
      </c>
      <c r="D53">
        <v>3</v>
      </c>
      <c r="E53">
        <v>2</v>
      </c>
    </row>
    <row r="54" spans="1:14" x14ac:dyDescent="0.3">
      <c r="A54" t="s">
        <v>19</v>
      </c>
      <c r="B54">
        <v>2</v>
      </c>
      <c r="C54">
        <v>2</v>
      </c>
      <c r="D54">
        <v>4</v>
      </c>
      <c r="E54">
        <v>5</v>
      </c>
    </row>
    <row r="55" spans="1:14" x14ac:dyDescent="0.3">
      <c r="L55" s="35"/>
      <c r="M55" s="35"/>
      <c r="N55" s="35"/>
    </row>
    <row r="56" spans="1:14" x14ac:dyDescent="0.3">
      <c r="L56" s="42"/>
      <c r="M56" s="36"/>
      <c r="N56" s="36"/>
    </row>
    <row r="57" spans="1:14" x14ac:dyDescent="0.3">
      <c r="L57" s="42"/>
      <c r="M57" s="36"/>
      <c r="N57" s="36"/>
    </row>
    <row r="58" spans="1:14" x14ac:dyDescent="0.3">
      <c r="L58" s="42"/>
      <c r="M58" s="36"/>
      <c r="N58" s="36"/>
    </row>
    <row r="59" spans="1:14" x14ac:dyDescent="0.3">
      <c r="L59" s="42"/>
      <c r="M59" s="36"/>
      <c r="N59" s="36"/>
    </row>
    <row r="60" spans="1:14" x14ac:dyDescent="0.3">
      <c r="L60" s="42"/>
      <c r="M60" s="36"/>
      <c r="N60" s="36"/>
    </row>
    <row r="61" spans="1:14" x14ac:dyDescent="0.3">
      <c r="L61" s="42"/>
      <c r="M61" s="36"/>
      <c r="N61" s="36"/>
    </row>
    <row r="62" spans="1:14" x14ac:dyDescent="0.3">
      <c r="L62" s="42"/>
      <c r="M62" s="36"/>
      <c r="N62" s="36"/>
    </row>
    <row r="63" spans="1:14" x14ac:dyDescent="0.3">
      <c r="L63" s="42"/>
      <c r="M63" s="36"/>
      <c r="N63" s="36"/>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3:L46"/>
  <sheetViews>
    <sheetView zoomScale="80" zoomScaleNormal="80" workbookViewId="0">
      <selection activeCell="E36" sqref="E36"/>
    </sheetView>
  </sheetViews>
  <sheetFormatPr defaultRowHeight="14.4" x14ac:dyDescent="0.3"/>
  <cols>
    <col min="3" max="3" width="7.6640625" bestFit="1" customWidth="1"/>
    <col min="4" max="4" width="15.33203125" bestFit="1" customWidth="1"/>
  </cols>
  <sheetData>
    <row r="3" spans="3:12" x14ac:dyDescent="0.3">
      <c r="C3" s="37" t="s">
        <v>138</v>
      </c>
      <c r="D3" s="37" t="s">
        <v>144</v>
      </c>
      <c r="E3" s="1" t="s">
        <v>134</v>
      </c>
    </row>
    <row r="4" spans="3:12" x14ac:dyDescent="0.3">
      <c r="C4" s="36" t="s">
        <v>103</v>
      </c>
      <c r="D4" s="36">
        <v>3.5</v>
      </c>
      <c r="E4" t="str">
        <f>IF(D4&lt;2,"Recession",IF(D4&lt;3,"Early",IF(D4&lt;4,"Mid","Late")))</f>
        <v>Mid</v>
      </c>
    </row>
    <row r="5" spans="3:12" x14ac:dyDescent="0.3">
      <c r="C5" s="36" t="s">
        <v>104</v>
      </c>
      <c r="D5" s="36">
        <v>3.8</v>
      </c>
      <c r="E5" t="str">
        <f t="shared" ref="E5:E11" si="0">IF(D5&lt;1.5,"Recession",
IF(D5&lt;2.5,"Early",
IF(D5&lt;3.5,"Mid",
"Late")))</f>
        <v>Late</v>
      </c>
    </row>
    <row r="6" spans="3:12" x14ac:dyDescent="0.3">
      <c r="C6" s="36" t="s">
        <v>105</v>
      </c>
      <c r="D6" s="36">
        <v>4.3</v>
      </c>
      <c r="E6" t="str">
        <f t="shared" si="0"/>
        <v>Late</v>
      </c>
    </row>
    <row r="7" spans="3:12" x14ac:dyDescent="0.3">
      <c r="C7" s="36" t="s">
        <v>135</v>
      </c>
      <c r="D7" s="36">
        <v>4.2</v>
      </c>
      <c r="E7" t="str">
        <f t="shared" si="0"/>
        <v>Late</v>
      </c>
    </row>
    <row r="8" spans="3:12" x14ac:dyDescent="0.3">
      <c r="C8" s="36" t="s">
        <v>107</v>
      </c>
      <c r="D8" s="36">
        <v>4.3</v>
      </c>
      <c r="E8" t="str">
        <f t="shared" si="0"/>
        <v>Late</v>
      </c>
    </row>
    <row r="9" spans="3:12" x14ac:dyDescent="0.3">
      <c r="C9" s="36" t="s">
        <v>108</v>
      </c>
      <c r="D9" s="36">
        <v>4.45</v>
      </c>
      <c r="E9" t="str">
        <f t="shared" si="0"/>
        <v>Late</v>
      </c>
    </row>
    <row r="10" spans="3:12" x14ac:dyDescent="0.3">
      <c r="C10" s="36" t="s">
        <v>91</v>
      </c>
      <c r="D10">
        <f>'Fremtid vækst'!C30</f>
        <v>4.2</v>
      </c>
      <c r="E10" t="str">
        <f t="shared" si="0"/>
        <v>Late</v>
      </c>
    </row>
    <row r="11" spans="3:12" x14ac:dyDescent="0.3">
      <c r="C11" s="36" t="s">
        <v>92</v>
      </c>
      <c r="D11">
        <f>'Fremtid vækst'!D30</f>
        <v>4.25</v>
      </c>
      <c r="E11" t="str">
        <f t="shared" si="0"/>
        <v>Late</v>
      </c>
    </row>
    <row r="12" spans="3:12" x14ac:dyDescent="0.3">
      <c r="I12" s="35"/>
      <c r="J12" s="35"/>
      <c r="K12" s="35"/>
      <c r="L12" s="35"/>
    </row>
    <row r="13" spans="3:12" x14ac:dyDescent="0.3">
      <c r="C13" s="37" t="s">
        <v>138</v>
      </c>
      <c r="D13" s="37" t="s">
        <v>145</v>
      </c>
      <c r="E13" s="1" t="s">
        <v>134</v>
      </c>
      <c r="I13" s="36"/>
      <c r="J13" s="36"/>
      <c r="K13" s="36"/>
      <c r="L13" s="36"/>
    </row>
    <row r="14" spans="3:12" x14ac:dyDescent="0.3">
      <c r="C14" s="36" t="s">
        <v>103</v>
      </c>
      <c r="D14" s="36">
        <v>2.48</v>
      </c>
      <c r="E14" t="str">
        <f t="shared" ref="E14:E21" si="1">IF(D14&lt;1.5,"Recession",
IF(D14&lt;2.5,"Early",
IF(D14&lt;3.5,"Mid",
"Late")))</f>
        <v>Early</v>
      </c>
      <c r="I14" s="36"/>
      <c r="J14" s="36"/>
      <c r="K14" s="36"/>
      <c r="L14" s="36"/>
    </row>
    <row r="15" spans="3:12" x14ac:dyDescent="0.3">
      <c r="C15" s="36" t="s">
        <v>104</v>
      </c>
      <c r="D15" s="36">
        <v>2.48</v>
      </c>
      <c r="E15" t="str">
        <f t="shared" si="1"/>
        <v>Early</v>
      </c>
      <c r="I15" s="36"/>
      <c r="J15" s="36"/>
      <c r="K15" s="36"/>
      <c r="L15" s="36"/>
    </row>
    <row r="16" spans="3:12" x14ac:dyDescent="0.3">
      <c r="C16" s="36" t="s">
        <v>105</v>
      </c>
      <c r="D16" s="36">
        <v>2.2799999999999998</v>
      </c>
      <c r="E16" t="str">
        <f t="shared" si="1"/>
        <v>Early</v>
      </c>
      <c r="I16" s="36"/>
      <c r="J16" s="36"/>
      <c r="K16" s="36"/>
      <c r="L16" s="36"/>
    </row>
    <row r="17" spans="3:12" x14ac:dyDescent="0.3">
      <c r="C17" s="36" t="s">
        <v>135</v>
      </c>
      <c r="D17" s="36">
        <v>2.2400000000000002</v>
      </c>
      <c r="E17" t="str">
        <f t="shared" si="1"/>
        <v>Early</v>
      </c>
      <c r="I17" s="36"/>
      <c r="J17" s="36"/>
      <c r="K17" s="36"/>
      <c r="L17" s="36"/>
    </row>
    <row r="18" spans="3:12" x14ac:dyDescent="0.3">
      <c r="C18" s="36" t="s">
        <v>107</v>
      </c>
      <c r="D18" s="36">
        <v>2.54</v>
      </c>
      <c r="E18" t="str">
        <f t="shared" si="1"/>
        <v>Mid</v>
      </c>
      <c r="I18" s="36"/>
      <c r="J18" s="36"/>
      <c r="K18" s="36"/>
      <c r="L18" s="36"/>
    </row>
    <row r="19" spans="3:12" x14ac:dyDescent="0.3">
      <c r="C19" s="36" t="s">
        <v>108</v>
      </c>
      <c r="D19" s="36">
        <v>2.5299999999999998</v>
      </c>
      <c r="E19" t="str">
        <f t="shared" si="1"/>
        <v>Mid</v>
      </c>
    </row>
    <row r="20" spans="3:12" x14ac:dyDescent="0.3">
      <c r="C20" s="36" t="s">
        <v>91</v>
      </c>
      <c r="D20">
        <f>'Fremtid vækst'!C18</f>
        <v>2.9</v>
      </c>
      <c r="E20" t="str">
        <f t="shared" si="1"/>
        <v>Mid</v>
      </c>
    </row>
    <row r="21" spans="3:12" x14ac:dyDescent="0.3">
      <c r="C21" s="36" t="s">
        <v>92</v>
      </c>
      <c r="D21">
        <f>'Fremtid vækst'!D18</f>
        <v>2.95</v>
      </c>
      <c r="E21" t="str">
        <f t="shared" si="1"/>
        <v>Mid</v>
      </c>
    </row>
    <row r="23" spans="3:12" x14ac:dyDescent="0.3">
      <c r="C23" s="37" t="s">
        <v>138</v>
      </c>
      <c r="D23" s="37" t="s">
        <v>146</v>
      </c>
      <c r="E23" s="1" t="s">
        <v>134</v>
      </c>
      <c r="J23" t="s">
        <v>255</v>
      </c>
    </row>
    <row r="24" spans="3:12" x14ac:dyDescent="0.3">
      <c r="C24" s="36" t="s">
        <v>103</v>
      </c>
      <c r="D24" s="36">
        <v>2.42</v>
      </c>
      <c r="E24" t="str">
        <f t="shared" ref="E24:E31" si="2">IF(D24&lt;1.5,"Recession",
IF(D24&lt;2.5,"Early",
IF(D24&lt;3.5,"Mid",
"Late")))</f>
        <v>Early</v>
      </c>
    </row>
    <row r="25" spans="3:12" x14ac:dyDescent="0.3">
      <c r="C25" s="36" t="s">
        <v>104</v>
      </c>
      <c r="D25" s="36">
        <v>2.5099999999999998</v>
      </c>
      <c r="E25" t="str">
        <f t="shared" si="2"/>
        <v>Mid</v>
      </c>
    </row>
    <row r="26" spans="3:12" x14ac:dyDescent="0.3">
      <c r="C26" s="36" t="s">
        <v>105</v>
      </c>
      <c r="D26" s="36">
        <v>2.25</v>
      </c>
      <c r="E26" t="str">
        <f t="shared" si="2"/>
        <v>Early</v>
      </c>
    </row>
    <row r="27" spans="3:12" x14ac:dyDescent="0.3">
      <c r="C27" s="36" t="s">
        <v>135</v>
      </c>
      <c r="D27" s="36">
        <v>2.0299999999999998</v>
      </c>
      <c r="E27" t="str">
        <f t="shared" si="2"/>
        <v>Early</v>
      </c>
    </row>
    <row r="28" spans="3:12" x14ac:dyDescent="0.3">
      <c r="C28" s="36" t="s">
        <v>107</v>
      </c>
      <c r="D28" s="36">
        <v>2.2799999999999998</v>
      </c>
      <c r="E28" t="str">
        <f t="shared" si="2"/>
        <v>Early</v>
      </c>
    </row>
    <row r="29" spans="3:12" x14ac:dyDescent="0.3">
      <c r="C29" s="36" t="s">
        <v>108</v>
      </c>
      <c r="D29" s="36">
        <v>2.2799999999999998</v>
      </c>
      <c r="E29" t="str">
        <f t="shared" si="2"/>
        <v>Early</v>
      </c>
    </row>
    <row r="30" spans="3:12" x14ac:dyDescent="0.3">
      <c r="C30" s="36" t="s">
        <v>91</v>
      </c>
      <c r="D30">
        <f>'Fremtid vækst'!C6</f>
        <v>3</v>
      </c>
      <c r="E30" t="str">
        <f t="shared" si="2"/>
        <v>Mid</v>
      </c>
    </row>
    <row r="31" spans="3:12" x14ac:dyDescent="0.3">
      <c r="C31" s="36" t="s">
        <v>92</v>
      </c>
      <c r="D31">
        <f>'Fremtid vækst'!D6</f>
        <v>3.05</v>
      </c>
      <c r="E31" t="str">
        <f t="shared" si="2"/>
        <v>Mid</v>
      </c>
    </row>
    <row r="35" spans="1:5" x14ac:dyDescent="0.3">
      <c r="A35" s="41" t="s">
        <v>7</v>
      </c>
      <c r="B35" s="41" t="s">
        <v>113</v>
      </c>
      <c r="C35" s="41" t="s">
        <v>114</v>
      </c>
      <c r="D35" s="41" t="s">
        <v>115</v>
      </c>
      <c r="E35" s="41" t="s">
        <v>116</v>
      </c>
    </row>
    <row r="36" spans="1:5" x14ac:dyDescent="0.3">
      <c r="A36" t="s">
        <v>9</v>
      </c>
      <c r="B36">
        <v>4</v>
      </c>
      <c r="C36">
        <v>4</v>
      </c>
      <c r="D36">
        <v>2</v>
      </c>
      <c r="E36">
        <v>1</v>
      </c>
    </row>
    <row r="37" spans="1:5" x14ac:dyDescent="0.3">
      <c r="A37" t="s">
        <v>10</v>
      </c>
      <c r="B37">
        <v>5</v>
      </c>
      <c r="C37">
        <v>2</v>
      </c>
      <c r="D37">
        <v>3</v>
      </c>
      <c r="E37">
        <v>1</v>
      </c>
    </row>
    <row r="38" spans="1:5" x14ac:dyDescent="0.3">
      <c r="A38" t="s">
        <v>11</v>
      </c>
      <c r="B38">
        <v>5</v>
      </c>
      <c r="C38">
        <v>4</v>
      </c>
      <c r="D38">
        <v>2</v>
      </c>
      <c r="E38">
        <v>1</v>
      </c>
    </row>
    <row r="39" spans="1:5" x14ac:dyDescent="0.3">
      <c r="A39" t="s">
        <v>12</v>
      </c>
      <c r="B39">
        <v>4</v>
      </c>
      <c r="C39">
        <v>5</v>
      </c>
      <c r="D39">
        <v>3</v>
      </c>
      <c r="E39">
        <v>1</v>
      </c>
    </row>
    <row r="40" spans="1:5" x14ac:dyDescent="0.3">
      <c r="A40" t="s">
        <v>13</v>
      </c>
      <c r="B40">
        <v>5</v>
      </c>
      <c r="C40">
        <v>4</v>
      </c>
      <c r="D40">
        <v>2</v>
      </c>
      <c r="E40">
        <v>1</v>
      </c>
    </row>
    <row r="41" spans="1:5" x14ac:dyDescent="0.3">
      <c r="A41" t="s">
        <v>14</v>
      </c>
      <c r="B41">
        <v>4</v>
      </c>
      <c r="C41">
        <v>2</v>
      </c>
      <c r="D41">
        <v>3</v>
      </c>
      <c r="E41">
        <v>2</v>
      </c>
    </row>
    <row r="42" spans="1:5" x14ac:dyDescent="0.3">
      <c r="A42" t="s">
        <v>15</v>
      </c>
      <c r="B42">
        <v>2</v>
      </c>
      <c r="C42">
        <v>2</v>
      </c>
      <c r="D42">
        <v>4</v>
      </c>
      <c r="E42">
        <v>5</v>
      </c>
    </row>
    <row r="43" spans="1:5" x14ac:dyDescent="0.3">
      <c r="A43" t="s">
        <v>16</v>
      </c>
      <c r="B43">
        <v>2</v>
      </c>
      <c r="C43">
        <v>3</v>
      </c>
      <c r="D43">
        <v>3</v>
      </c>
      <c r="E43">
        <v>5</v>
      </c>
    </row>
    <row r="44" spans="1:5" x14ac:dyDescent="0.3">
      <c r="A44" t="s">
        <v>17</v>
      </c>
      <c r="B44">
        <v>2</v>
      </c>
      <c r="C44">
        <v>3</v>
      </c>
      <c r="D44">
        <v>5</v>
      </c>
      <c r="E44">
        <v>1</v>
      </c>
    </row>
    <row r="45" spans="1:5" x14ac:dyDescent="0.3">
      <c r="A45" t="s">
        <v>143</v>
      </c>
      <c r="B45">
        <v>3</v>
      </c>
      <c r="C45">
        <v>4</v>
      </c>
      <c r="D45">
        <v>3</v>
      </c>
      <c r="E45">
        <v>2</v>
      </c>
    </row>
    <row r="46" spans="1:5" x14ac:dyDescent="0.3">
      <c r="A46" t="s">
        <v>19</v>
      </c>
      <c r="B46">
        <v>2</v>
      </c>
      <c r="C46">
        <v>2</v>
      </c>
      <c r="D46">
        <v>4</v>
      </c>
      <c r="E46">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2:E44"/>
  <sheetViews>
    <sheetView topLeftCell="A20" workbookViewId="0">
      <selection activeCell="E36" sqref="E36"/>
    </sheetView>
  </sheetViews>
  <sheetFormatPr defaultRowHeight="14.4" x14ac:dyDescent="0.3"/>
  <cols>
    <col min="3" max="3" width="7.6640625" bestFit="1" customWidth="1"/>
    <col min="4" max="4" width="14.44140625" bestFit="1" customWidth="1"/>
    <col min="5" max="5" width="9.44140625" bestFit="1" customWidth="1"/>
    <col min="6" max="6" width="8.33203125" bestFit="1" customWidth="1"/>
  </cols>
  <sheetData>
    <row r="2" spans="3:5" x14ac:dyDescent="0.3">
      <c r="C2" s="37" t="s">
        <v>138</v>
      </c>
      <c r="D2" s="37" t="s">
        <v>147</v>
      </c>
      <c r="E2" t="s">
        <v>134</v>
      </c>
    </row>
    <row r="3" spans="3:5" x14ac:dyDescent="0.3">
      <c r="C3" s="42" t="s">
        <v>103</v>
      </c>
      <c r="D3" s="43">
        <v>1.6E-2</v>
      </c>
      <c r="E3" t="str">
        <f t="shared" ref="E3:E10" si="0">IF(D3&lt;1.5%,"Recession",
IF(D3&lt;2%,"Early",
IF(D3&lt;3%,"Mid",
"Late")))</f>
        <v>Early</v>
      </c>
    </row>
    <row r="4" spans="3:5" x14ac:dyDescent="0.3">
      <c r="C4" s="42" t="s">
        <v>104</v>
      </c>
      <c r="D4" s="43">
        <v>1.4999999999999999E-2</v>
      </c>
      <c r="E4" t="str">
        <f t="shared" si="0"/>
        <v>Early</v>
      </c>
    </row>
    <row r="5" spans="3:5" x14ac:dyDescent="0.3">
      <c r="C5" s="42" t="s">
        <v>105</v>
      </c>
      <c r="D5" s="43">
        <v>1.4E-2</v>
      </c>
      <c r="E5" t="str">
        <f t="shared" si="0"/>
        <v>Recession</v>
      </c>
    </row>
    <row r="6" spans="3:5" x14ac:dyDescent="0.3">
      <c r="C6" s="42" t="s">
        <v>135</v>
      </c>
      <c r="D6" s="43">
        <v>1.4999999999999999E-2</v>
      </c>
      <c r="E6" t="str">
        <f t="shared" si="0"/>
        <v>Early</v>
      </c>
    </row>
    <row r="7" spans="3:5" x14ac:dyDescent="0.3">
      <c r="C7" s="42" t="s">
        <v>107</v>
      </c>
      <c r="D7" s="43">
        <v>1.4999999999999999E-2</v>
      </c>
      <c r="E7" t="str">
        <f t="shared" si="0"/>
        <v>Early</v>
      </c>
    </row>
    <row r="8" spans="3:5" x14ac:dyDescent="0.3">
      <c r="C8" s="42" t="s">
        <v>108</v>
      </c>
      <c r="D8" s="43">
        <v>1.4999999999999999E-2</v>
      </c>
      <c r="E8" t="str">
        <f t="shared" si="0"/>
        <v>Early</v>
      </c>
    </row>
    <row r="9" spans="3:5" x14ac:dyDescent="0.3">
      <c r="C9" s="42" t="s">
        <v>91</v>
      </c>
      <c r="D9" s="84">
        <f>'Fremtid vækst'!C7</f>
        <v>0.02</v>
      </c>
      <c r="E9" t="str">
        <f t="shared" si="0"/>
        <v>Mid</v>
      </c>
    </row>
    <row r="10" spans="3:5" x14ac:dyDescent="0.3">
      <c r="C10" s="42" t="s">
        <v>92</v>
      </c>
      <c r="D10" s="84">
        <f>'Fremtid vækst'!D7</f>
        <v>1.9E-2</v>
      </c>
      <c r="E10" t="str">
        <f t="shared" si="0"/>
        <v>Early</v>
      </c>
    </row>
    <row r="11" spans="3:5" x14ac:dyDescent="0.3">
      <c r="C11" s="42"/>
    </row>
    <row r="12" spans="3:5" x14ac:dyDescent="0.3">
      <c r="C12" s="37" t="s">
        <v>138</v>
      </c>
      <c r="D12" s="37" t="s">
        <v>148</v>
      </c>
      <c r="E12" s="1" t="s">
        <v>134</v>
      </c>
    </row>
    <row r="13" spans="3:5" x14ac:dyDescent="0.3">
      <c r="C13" s="42" t="s">
        <v>103</v>
      </c>
      <c r="D13" s="43">
        <v>2.5000000000000001E-2</v>
      </c>
      <c r="E13" t="str">
        <f t="shared" ref="E13:E20" si="1">IF(D13&lt;1.5%,"Recession",
IF(D13&lt;2%,"Early",
IF(D13&lt;3%,"Mid",
"Late")))</f>
        <v>Mid</v>
      </c>
    </row>
    <row r="14" spans="3:5" x14ac:dyDescent="0.3">
      <c r="C14" s="42" t="s">
        <v>104</v>
      </c>
      <c r="D14" s="43">
        <v>2.4E-2</v>
      </c>
      <c r="E14" t="str">
        <f t="shared" si="1"/>
        <v>Mid</v>
      </c>
    </row>
    <row r="15" spans="3:5" x14ac:dyDescent="0.3">
      <c r="C15" s="42" t="s">
        <v>105</v>
      </c>
      <c r="D15" s="43">
        <v>2.3E-2</v>
      </c>
      <c r="E15" t="str">
        <f t="shared" si="1"/>
        <v>Mid</v>
      </c>
    </row>
    <row r="16" spans="3:5" x14ac:dyDescent="0.3">
      <c r="C16" s="42" t="s">
        <v>135</v>
      </c>
      <c r="D16" s="43">
        <v>2.1000000000000001E-2</v>
      </c>
      <c r="E16" t="str">
        <f t="shared" si="1"/>
        <v>Mid</v>
      </c>
    </row>
    <row r="17" spans="3:5" x14ac:dyDescent="0.3">
      <c r="C17" s="42" t="s">
        <v>107</v>
      </c>
      <c r="D17" s="43">
        <v>1.9E-2</v>
      </c>
      <c r="E17" t="str">
        <f t="shared" si="1"/>
        <v>Early</v>
      </c>
    </row>
    <row r="18" spans="3:5" x14ac:dyDescent="0.3">
      <c r="C18" s="42" t="s">
        <v>108</v>
      </c>
      <c r="D18" s="43">
        <v>0.02</v>
      </c>
      <c r="E18" t="str">
        <f t="shared" si="1"/>
        <v>Mid</v>
      </c>
    </row>
    <row r="19" spans="3:5" x14ac:dyDescent="0.3">
      <c r="C19" s="42" t="s">
        <v>91</v>
      </c>
      <c r="D19" s="84">
        <f>'Fremtid vækst'!C19</f>
        <v>1.9E-2</v>
      </c>
      <c r="E19" t="str">
        <f t="shared" si="1"/>
        <v>Early</v>
      </c>
    </row>
    <row r="20" spans="3:5" x14ac:dyDescent="0.3">
      <c r="C20" s="42" t="s">
        <v>92</v>
      </c>
      <c r="D20" s="84">
        <f>'Fremtid vækst'!D19</f>
        <v>1.8000000000000002E-2</v>
      </c>
      <c r="E20" t="str">
        <f t="shared" si="1"/>
        <v>Early</v>
      </c>
    </row>
    <row r="21" spans="3:5" x14ac:dyDescent="0.3">
      <c r="C21" s="42"/>
    </row>
    <row r="22" spans="3:5" x14ac:dyDescent="0.3">
      <c r="C22" s="37" t="s">
        <v>138</v>
      </c>
      <c r="D22" s="37" t="s">
        <v>149</v>
      </c>
      <c r="E22" s="1" t="s">
        <v>134</v>
      </c>
    </row>
    <row r="23" spans="3:5" x14ac:dyDescent="0.3">
      <c r="C23" s="42" t="s">
        <v>103</v>
      </c>
      <c r="D23" s="43">
        <v>3.3000000000000002E-2</v>
      </c>
      <c r="E23" t="str">
        <f t="shared" ref="E23:E30" si="2">IF(D23&lt;1.5%,"Recession",
IF(D23&lt;2%,"Early",
IF(D23&lt;3%,"Mid",
"Late")))</f>
        <v>Late</v>
      </c>
    </row>
    <row r="24" spans="3:5" x14ac:dyDescent="0.3">
      <c r="C24" s="42" t="s">
        <v>104</v>
      </c>
      <c r="D24" s="43">
        <v>3.2000000000000001E-2</v>
      </c>
      <c r="E24" t="str">
        <f t="shared" si="2"/>
        <v>Late</v>
      </c>
    </row>
    <row r="25" spans="3:5" x14ac:dyDescent="0.3">
      <c r="C25" s="42" t="s">
        <v>105</v>
      </c>
      <c r="D25" s="43">
        <v>0.03</v>
      </c>
      <c r="E25" t="str">
        <f t="shared" si="2"/>
        <v>Late</v>
      </c>
    </row>
    <row r="26" spans="3:5" x14ac:dyDescent="0.3">
      <c r="C26" s="42" t="s">
        <v>135</v>
      </c>
      <c r="D26" s="43">
        <v>2.9000000000000001E-2</v>
      </c>
      <c r="E26" t="str">
        <f t="shared" si="2"/>
        <v>Mid</v>
      </c>
    </row>
    <row r="27" spans="3:5" x14ac:dyDescent="0.3">
      <c r="C27" s="42" t="s">
        <v>107</v>
      </c>
      <c r="D27" s="43">
        <v>2.5999999999999999E-2</v>
      </c>
      <c r="E27" t="str">
        <f t="shared" si="2"/>
        <v>Mid</v>
      </c>
    </row>
    <row r="28" spans="3:5" x14ac:dyDescent="0.3">
      <c r="C28" s="42" t="s">
        <v>108</v>
      </c>
      <c r="D28" s="43">
        <v>2.7E-2</v>
      </c>
      <c r="E28" t="str">
        <f t="shared" si="2"/>
        <v>Mid</v>
      </c>
    </row>
    <row r="29" spans="3:5" x14ac:dyDescent="0.3">
      <c r="C29" s="42" t="s">
        <v>91</v>
      </c>
      <c r="D29" s="84">
        <f>'Fremtid vækst'!C31</f>
        <v>2.7000000000000003E-2</v>
      </c>
      <c r="E29" t="str">
        <f t="shared" si="2"/>
        <v>Mid</v>
      </c>
    </row>
    <row r="30" spans="3:5" x14ac:dyDescent="0.3">
      <c r="C30" s="42" t="s">
        <v>92</v>
      </c>
      <c r="D30" s="84">
        <f>'Fremtid vækst'!D31</f>
        <v>2.6000000000000002E-2</v>
      </c>
      <c r="E30" t="str">
        <f t="shared" si="2"/>
        <v>Mid</v>
      </c>
    </row>
    <row r="33" spans="1:5" x14ac:dyDescent="0.3">
      <c r="A33" s="41" t="s">
        <v>7</v>
      </c>
      <c r="B33" s="41" t="s">
        <v>113</v>
      </c>
      <c r="C33" s="41" t="s">
        <v>114</v>
      </c>
      <c r="D33" s="41" t="s">
        <v>115</v>
      </c>
      <c r="E33" s="41" t="s">
        <v>116</v>
      </c>
    </row>
    <row r="34" spans="1:5" x14ac:dyDescent="0.3">
      <c r="A34" t="s">
        <v>9</v>
      </c>
      <c r="B34">
        <v>4</v>
      </c>
      <c r="C34">
        <v>4</v>
      </c>
      <c r="D34">
        <v>2</v>
      </c>
      <c r="E34">
        <v>1</v>
      </c>
    </row>
    <row r="35" spans="1:5" x14ac:dyDescent="0.3">
      <c r="A35" t="s">
        <v>10</v>
      </c>
      <c r="B35">
        <v>5</v>
      </c>
      <c r="C35">
        <v>2</v>
      </c>
      <c r="D35">
        <v>3</v>
      </c>
      <c r="E35">
        <v>1</v>
      </c>
    </row>
    <row r="36" spans="1:5" x14ac:dyDescent="0.3">
      <c r="A36" t="s">
        <v>11</v>
      </c>
      <c r="B36">
        <v>5</v>
      </c>
      <c r="C36">
        <v>4</v>
      </c>
      <c r="D36">
        <v>2</v>
      </c>
      <c r="E36">
        <v>1</v>
      </c>
    </row>
    <row r="37" spans="1:5" x14ac:dyDescent="0.3">
      <c r="A37" t="s">
        <v>12</v>
      </c>
      <c r="B37">
        <v>4</v>
      </c>
      <c r="C37">
        <v>5</v>
      </c>
      <c r="D37">
        <v>3</v>
      </c>
      <c r="E37">
        <v>1</v>
      </c>
    </row>
    <row r="38" spans="1:5" x14ac:dyDescent="0.3">
      <c r="A38" t="s">
        <v>13</v>
      </c>
      <c r="B38">
        <v>5</v>
      </c>
      <c r="C38">
        <v>4</v>
      </c>
      <c r="D38">
        <v>2</v>
      </c>
      <c r="E38">
        <v>1</v>
      </c>
    </row>
    <row r="39" spans="1:5" x14ac:dyDescent="0.3">
      <c r="A39" t="s">
        <v>14</v>
      </c>
      <c r="B39">
        <v>4</v>
      </c>
      <c r="C39">
        <v>2</v>
      </c>
      <c r="D39">
        <v>3</v>
      </c>
      <c r="E39">
        <v>2</v>
      </c>
    </row>
    <row r="40" spans="1:5" x14ac:dyDescent="0.3">
      <c r="A40" t="s">
        <v>15</v>
      </c>
      <c r="B40">
        <v>2</v>
      </c>
      <c r="C40">
        <v>2</v>
      </c>
      <c r="D40">
        <v>4</v>
      </c>
      <c r="E40">
        <v>5</v>
      </c>
    </row>
    <row r="41" spans="1:5" x14ac:dyDescent="0.3">
      <c r="A41" t="s">
        <v>16</v>
      </c>
      <c r="B41">
        <v>2</v>
      </c>
      <c r="C41">
        <v>3</v>
      </c>
      <c r="D41">
        <v>3</v>
      </c>
      <c r="E41">
        <v>5</v>
      </c>
    </row>
    <row r="42" spans="1:5" x14ac:dyDescent="0.3">
      <c r="A42" t="s">
        <v>17</v>
      </c>
      <c r="B42">
        <v>2</v>
      </c>
      <c r="C42">
        <v>3</v>
      </c>
      <c r="D42">
        <v>5</v>
      </c>
      <c r="E42">
        <v>1</v>
      </c>
    </row>
    <row r="43" spans="1:5" x14ac:dyDescent="0.3">
      <c r="A43" t="s">
        <v>143</v>
      </c>
      <c r="B43">
        <v>3</v>
      </c>
      <c r="C43">
        <v>4</v>
      </c>
      <c r="D43">
        <v>3</v>
      </c>
      <c r="E43">
        <v>2</v>
      </c>
    </row>
    <row r="44" spans="1:5" x14ac:dyDescent="0.3">
      <c r="A44" t="s">
        <v>19</v>
      </c>
      <c r="B44">
        <v>2</v>
      </c>
      <c r="C44">
        <v>2</v>
      </c>
      <c r="D44">
        <v>4</v>
      </c>
      <c r="E44">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D4:E28"/>
  <sheetViews>
    <sheetView workbookViewId="0">
      <selection activeCell="E14" sqref="E14"/>
    </sheetView>
  </sheetViews>
  <sheetFormatPr defaultRowHeight="14.4" x14ac:dyDescent="0.3"/>
  <sheetData>
    <row r="4" spans="4:5" ht="28.95" customHeight="1" x14ac:dyDescent="0.3">
      <c r="D4" s="35" t="s">
        <v>138</v>
      </c>
      <c r="E4" s="35" t="s">
        <v>150</v>
      </c>
    </row>
    <row r="5" spans="4:5" x14ac:dyDescent="0.3">
      <c r="D5" s="42" t="s">
        <v>103</v>
      </c>
      <c r="E5" s="36">
        <v>6</v>
      </c>
    </row>
    <row r="6" spans="4:5" x14ac:dyDescent="0.3">
      <c r="D6" s="42" t="s">
        <v>104</v>
      </c>
      <c r="E6" s="36">
        <v>5.8</v>
      </c>
    </row>
    <row r="7" spans="4:5" x14ac:dyDescent="0.3">
      <c r="D7" s="42" t="s">
        <v>105</v>
      </c>
      <c r="E7" s="36">
        <v>6.5</v>
      </c>
    </row>
    <row r="8" spans="4:5" x14ac:dyDescent="0.3">
      <c r="D8" s="42" t="s">
        <v>135</v>
      </c>
      <c r="E8" s="36">
        <v>6.5</v>
      </c>
    </row>
    <row r="9" spans="4:5" x14ac:dyDescent="0.3">
      <c r="D9" s="42" t="s">
        <v>107</v>
      </c>
      <c r="E9" s="36">
        <v>6.6</v>
      </c>
    </row>
    <row r="13" spans="4:5" ht="43.2" customHeight="1" x14ac:dyDescent="0.3">
      <c r="D13" s="35" t="s">
        <v>138</v>
      </c>
      <c r="E13" s="35" t="s">
        <v>151</v>
      </c>
    </row>
    <row r="14" spans="4:5" x14ac:dyDescent="0.3">
      <c r="D14" s="42" t="s">
        <v>103</v>
      </c>
      <c r="E14" s="36" t="s">
        <v>152</v>
      </c>
    </row>
    <row r="15" spans="4:5" x14ac:dyDescent="0.3">
      <c r="D15" s="42" t="s">
        <v>104</v>
      </c>
      <c r="E15" s="36" t="s">
        <v>153</v>
      </c>
    </row>
    <row r="16" spans="4:5" x14ac:dyDescent="0.3">
      <c r="D16" s="42" t="s">
        <v>105</v>
      </c>
      <c r="E16" s="36" t="s">
        <v>153</v>
      </c>
    </row>
    <row r="17" spans="4:5" x14ac:dyDescent="0.3">
      <c r="D17" s="42" t="s">
        <v>135</v>
      </c>
      <c r="E17" s="36" t="s">
        <v>154</v>
      </c>
    </row>
    <row r="18" spans="4:5" x14ac:dyDescent="0.3">
      <c r="D18" s="42" t="s">
        <v>107</v>
      </c>
      <c r="E18" s="36" t="s">
        <v>153</v>
      </c>
    </row>
    <row r="23" spans="4:5" x14ac:dyDescent="0.3">
      <c r="D23" s="35" t="s">
        <v>138</v>
      </c>
      <c r="E23" s="35" t="s">
        <v>155</v>
      </c>
    </row>
    <row r="24" spans="4:5" x14ac:dyDescent="0.3">
      <c r="D24" s="42" t="s">
        <v>103</v>
      </c>
      <c r="E24" s="36">
        <v>3.7</v>
      </c>
    </row>
    <row r="25" spans="4:5" x14ac:dyDescent="0.3">
      <c r="D25" s="42" t="s">
        <v>104</v>
      </c>
      <c r="E25" s="36">
        <v>4.0999999999999996</v>
      </c>
    </row>
    <row r="26" spans="4:5" x14ac:dyDescent="0.3">
      <c r="D26" s="42" t="s">
        <v>105</v>
      </c>
      <c r="E26" s="36">
        <v>4.2</v>
      </c>
    </row>
    <row r="27" spans="4:5" x14ac:dyDescent="0.3">
      <c r="D27" s="42" t="s">
        <v>135</v>
      </c>
      <c r="E27" s="36">
        <v>4.0999999999999996</v>
      </c>
    </row>
    <row r="28" spans="4:5" x14ac:dyDescent="0.3">
      <c r="D28" s="42" t="s">
        <v>107</v>
      </c>
      <c r="E28" s="36">
        <v>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3:F44"/>
  <sheetViews>
    <sheetView topLeftCell="A26" workbookViewId="0">
      <selection activeCell="E36" sqref="E36"/>
    </sheetView>
  </sheetViews>
  <sheetFormatPr defaultRowHeight="14.4" x14ac:dyDescent="0.3"/>
  <cols>
    <col min="6" max="6" width="11.6640625" bestFit="1" customWidth="1"/>
  </cols>
  <sheetData>
    <row r="3" spans="4:6" x14ac:dyDescent="0.3">
      <c r="D3" s="1" t="s">
        <v>138</v>
      </c>
      <c r="E3" s="1" t="s">
        <v>101</v>
      </c>
      <c r="F3" s="1" t="s">
        <v>134</v>
      </c>
    </row>
    <row r="4" spans="4:6" x14ac:dyDescent="0.3">
      <c r="D4" t="s">
        <v>108</v>
      </c>
      <c r="E4">
        <v>1677</v>
      </c>
    </row>
    <row r="5" spans="4:6" x14ac:dyDescent="0.3">
      <c r="D5" t="s">
        <v>91</v>
      </c>
      <c r="E5" t="str">
        <f>'Fremtid vækst'!C20</f>
        <v>1 760</v>
      </c>
      <c r="F5" t="str">
        <f>IFERROR(IF((E5-E4)/E4&gt;0, "Early",
    IF((E5-E4)/E4&gt; -0.02, "Mid",
        IF((E5-E4)/E4&gt; -0.05,"Late", "Recession"))),"")</f>
        <v/>
      </c>
    </row>
    <row r="6" spans="4:6" x14ac:dyDescent="0.3">
      <c r="D6" t="s">
        <v>92</v>
      </c>
      <c r="E6" t="str">
        <f>'Fremtid vækst'!D20</f>
        <v>1 800</v>
      </c>
      <c r="F6" t="str">
        <f>IFERROR(IF((E6-E5)/E5&gt;0, "Early",
    IF((E6-E5)/E5&gt; -0.02, "Mid",
        IF((E6-E5)/E5&gt; -0.05,"Late", "Recession"))),"")</f>
        <v/>
      </c>
    </row>
    <row r="13" spans="4:6" x14ac:dyDescent="0.3">
      <c r="D13" s="1" t="s">
        <v>138</v>
      </c>
      <c r="E13" s="1" t="s">
        <v>102</v>
      </c>
      <c r="F13" s="1" t="s">
        <v>134</v>
      </c>
    </row>
    <row r="14" spans="4:6" x14ac:dyDescent="0.3">
      <c r="D14" t="s">
        <v>108</v>
      </c>
      <c r="E14">
        <v>1677</v>
      </c>
    </row>
    <row r="15" spans="4:6" x14ac:dyDescent="0.3">
      <c r="D15" t="s">
        <v>91</v>
      </c>
      <c r="E15" t="str">
        <f>'Fremtid vækst'!C32</f>
        <v>1 760</v>
      </c>
      <c r="F15" t="str">
        <f>IFERROR(IF((E15-E14)/E14&gt;0, "Early",
    IF((E15-E14)/E14&gt; -0.02, "Mid",
        IF((E15-E14)/E14&gt; -0.05,"Late", "Recession"))),"")</f>
        <v/>
      </c>
    </row>
    <row r="16" spans="4:6" x14ac:dyDescent="0.3">
      <c r="D16" t="s">
        <v>92</v>
      </c>
      <c r="E16" t="str">
        <f>'Fremtid vækst'!D32</f>
        <v>1 850</v>
      </c>
      <c r="F16" t="str">
        <f>IFERROR(IF((E16-E15)/E15&gt;0, "Early",
IF((E16-E15)/E15&gt; -0.02, "Mid",
IF((E16-E15)/E15&gt; -0.05,"Late", "Recession"))),"")</f>
        <v/>
      </c>
    </row>
    <row r="23" spans="4:6" x14ac:dyDescent="0.3">
      <c r="D23" s="1" t="s">
        <v>138</v>
      </c>
      <c r="E23" s="1" t="s">
        <v>90</v>
      </c>
      <c r="F23" s="1" t="s">
        <v>134</v>
      </c>
    </row>
    <row r="24" spans="4:6" x14ac:dyDescent="0.3">
      <c r="D24" t="s">
        <v>108</v>
      </c>
      <c r="E24">
        <v>1677</v>
      </c>
    </row>
    <row r="25" spans="4:6" x14ac:dyDescent="0.3">
      <c r="D25" t="s">
        <v>91</v>
      </c>
      <c r="E25" t="str">
        <f>'Fremtid vækst'!C8</f>
        <v>1 760</v>
      </c>
      <c r="F25" t="str">
        <f>IFERROR(IF((E25-E24)/E24&gt;0, "Early",
    IF((E25-E24)/E24&gt; -0.02, "Mid",
        IF((E25-E24)/E24&gt; -0.05,"Late", "Recession"))),"")</f>
        <v/>
      </c>
    </row>
    <row r="26" spans="4:6" x14ac:dyDescent="0.3">
      <c r="D26" t="s">
        <v>92</v>
      </c>
      <c r="E26" t="str">
        <f>'Fremtid vækst'!D8</f>
        <v>1 800</v>
      </c>
      <c r="F26" t="str">
        <f>IFERROR(IF((E26-E25)/E25&gt;0, "Early",
IF((E26-E25)/E25&gt; -0.02, "Mid",
IF((E26-E25)/E25&gt; -0.05,"Late", "Recession"))),"")</f>
        <v/>
      </c>
    </row>
    <row r="33" spans="1:5" x14ac:dyDescent="0.3">
      <c r="A33" s="41" t="s">
        <v>7</v>
      </c>
      <c r="B33" s="41" t="s">
        <v>113</v>
      </c>
      <c r="C33" s="41" t="s">
        <v>114</v>
      </c>
      <c r="D33" s="41" t="s">
        <v>115</v>
      </c>
      <c r="E33" s="41" t="s">
        <v>116</v>
      </c>
    </row>
    <row r="34" spans="1:5" x14ac:dyDescent="0.3">
      <c r="A34" t="s">
        <v>9</v>
      </c>
      <c r="B34">
        <v>4</v>
      </c>
      <c r="C34">
        <v>4</v>
      </c>
      <c r="D34">
        <v>2</v>
      </c>
      <c r="E34">
        <v>1</v>
      </c>
    </row>
    <row r="35" spans="1:5" x14ac:dyDescent="0.3">
      <c r="A35" t="s">
        <v>10</v>
      </c>
      <c r="B35">
        <v>5</v>
      </c>
      <c r="C35">
        <v>2</v>
      </c>
      <c r="D35">
        <v>3</v>
      </c>
      <c r="E35">
        <v>1</v>
      </c>
    </row>
    <row r="36" spans="1:5" x14ac:dyDescent="0.3">
      <c r="A36" t="s">
        <v>11</v>
      </c>
      <c r="B36">
        <v>5</v>
      </c>
      <c r="C36">
        <v>4</v>
      </c>
      <c r="D36">
        <v>2</v>
      </c>
      <c r="E36">
        <v>1</v>
      </c>
    </row>
    <row r="37" spans="1:5" x14ac:dyDescent="0.3">
      <c r="A37" t="s">
        <v>12</v>
      </c>
      <c r="B37">
        <v>4</v>
      </c>
      <c r="C37">
        <v>5</v>
      </c>
      <c r="D37">
        <v>3</v>
      </c>
      <c r="E37">
        <v>1</v>
      </c>
    </row>
    <row r="38" spans="1:5" x14ac:dyDescent="0.3">
      <c r="A38" t="s">
        <v>13</v>
      </c>
      <c r="B38">
        <v>5</v>
      </c>
      <c r="C38">
        <v>4</v>
      </c>
      <c r="D38">
        <v>2</v>
      </c>
      <c r="E38">
        <v>1</v>
      </c>
    </row>
    <row r="39" spans="1:5" x14ac:dyDescent="0.3">
      <c r="A39" t="s">
        <v>14</v>
      </c>
      <c r="B39">
        <v>4</v>
      </c>
      <c r="C39">
        <v>2</v>
      </c>
      <c r="D39">
        <v>3</v>
      </c>
      <c r="E39">
        <v>2</v>
      </c>
    </row>
    <row r="40" spans="1:5" x14ac:dyDescent="0.3">
      <c r="A40" t="s">
        <v>15</v>
      </c>
      <c r="B40">
        <v>2</v>
      </c>
      <c r="C40">
        <v>2</v>
      </c>
      <c r="D40">
        <v>4</v>
      </c>
      <c r="E40">
        <v>5</v>
      </c>
    </row>
    <row r="41" spans="1:5" x14ac:dyDescent="0.3">
      <c r="A41" t="s">
        <v>16</v>
      </c>
      <c r="B41">
        <v>2</v>
      </c>
      <c r="C41">
        <v>3</v>
      </c>
      <c r="D41">
        <v>3</v>
      </c>
      <c r="E41">
        <v>5</v>
      </c>
    </row>
    <row r="42" spans="1:5" x14ac:dyDescent="0.3">
      <c r="A42" t="s">
        <v>17</v>
      </c>
      <c r="B42">
        <v>2</v>
      </c>
      <c r="C42">
        <v>3</v>
      </c>
      <c r="D42">
        <v>5</v>
      </c>
      <c r="E42">
        <v>1</v>
      </c>
    </row>
    <row r="43" spans="1:5" x14ac:dyDescent="0.3">
      <c r="A43" t="s">
        <v>143</v>
      </c>
      <c r="B43">
        <v>3</v>
      </c>
      <c r="C43">
        <v>4</v>
      </c>
      <c r="D43">
        <v>3</v>
      </c>
      <c r="E43">
        <v>2</v>
      </c>
    </row>
    <row r="44" spans="1:5" x14ac:dyDescent="0.3">
      <c r="A44" t="s">
        <v>19</v>
      </c>
      <c r="B44">
        <v>2</v>
      </c>
      <c r="C44">
        <v>2</v>
      </c>
      <c r="D44">
        <v>4</v>
      </c>
      <c r="E44">
        <v>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3:F44"/>
  <sheetViews>
    <sheetView topLeftCell="A11" workbookViewId="0">
      <selection activeCell="E36" sqref="E36"/>
    </sheetView>
  </sheetViews>
  <sheetFormatPr defaultRowHeight="14.4" x14ac:dyDescent="0.3"/>
  <cols>
    <col min="6" max="6" width="11.6640625" bestFit="1" customWidth="1"/>
  </cols>
  <sheetData>
    <row r="3" spans="4:6" x14ac:dyDescent="0.3">
      <c r="D3" t="s">
        <v>138</v>
      </c>
      <c r="E3" t="s">
        <v>101</v>
      </c>
      <c r="F3" t="s">
        <v>134</v>
      </c>
    </row>
    <row r="4" spans="4:6" x14ac:dyDescent="0.3">
      <c r="D4" t="s">
        <v>108</v>
      </c>
      <c r="E4">
        <v>16.5</v>
      </c>
    </row>
    <row r="5" spans="4:6" x14ac:dyDescent="0.3">
      <c r="D5" t="s">
        <v>91</v>
      </c>
      <c r="E5">
        <f>'Fremtid vækst'!C21</f>
        <v>15</v>
      </c>
      <c r="F5" t="str">
        <f>IFERROR(IF((E5-E4)/E4&gt;0,
    IF((E5-E4)/E4&gt;0.05, "Recession", "Late"),
    IF((E5-E4)/E4&lt;-0.05, "Early", "Mid")),"")</f>
        <v>Early</v>
      </c>
    </row>
    <row r="6" spans="4:6" x14ac:dyDescent="0.3">
      <c r="D6" t="s">
        <v>92</v>
      </c>
      <c r="E6">
        <f>'Fremtid vækst'!D21</f>
        <v>17</v>
      </c>
      <c r="F6" t="str">
        <f>IFERROR(IF((E6-E5)/E5&gt;0,
    IF((E6-E5)/E5&gt;0.05, "Recession", "Late"),
    IF((E6-E5)/E5&lt;-0.05, "Early", "Mid")),"")</f>
        <v>Recession</v>
      </c>
    </row>
    <row r="13" spans="4:6" x14ac:dyDescent="0.3">
      <c r="D13" t="s">
        <v>138</v>
      </c>
      <c r="E13" t="s">
        <v>102</v>
      </c>
      <c r="F13" t="s">
        <v>134</v>
      </c>
    </row>
    <row r="14" spans="4:6" x14ac:dyDescent="0.3">
      <c r="D14" t="s">
        <v>108</v>
      </c>
      <c r="E14">
        <v>16.5</v>
      </c>
    </row>
    <row r="15" spans="4:6" x14ac:dyDescent="0.3">
      <c r="D15" t="s">
        <v>91</v>
      </c>
      <c r="E15">
        <f>'Fremtid vækst'!C33</f>
        <v>15</v>
      </c>
      <c r="F15" t="str">
        <f>IFERROR(IF((E15-E14)/E14&gt;0,
    IF((E15-E14)/E14&gt;0.05, "Recession", "Late"),
    IF((E15-E14)/E14&lt;-0.05, "Early", "Mid")),"")</f>
        <v>Early</v>
      </c>
    </row>
    <row r="16" spans="4:6" x14ac:dyDescent="0.3">
      <c r="D16" t="s">
        <v>92</v>
      </c>
      <c r="E16">
        <f>'Fremtid vækst'!D33</f>
        <v>17</v>
      </c>
      <c r="F16" t="str">
        <f>IFERROR(IF((E16-E15)/E15&gt;0,
IF((E16-E15)/E15&gt;0.05, "Recession", "Late"),
IF((E16-E15)/E15&lt;-0.05, "Early", "Mid")),"")</f>
        <v>Recession</v>
      </c>
    </row>
    <row r="23" spans="4:6" x14ac:dyDescent="0.3">
      <c r="D23" t="s">
        <v>138</v>
      </c>
      <c r="E23" t="s">
        <v>90</v>
      </c>
      <c r="F23" t="s">
        <v>134</v>
      </c>
    </row>
    <row r="24" spans="4:6" x14ac:dyDescent="0.3">
      <c r="D24" t="s">
        <v>108</v>
      </c>
      <c r="E24">
        <v>16.5</v>
      </c>
    </row>
    <row r="25" spans="4:6" x14ac:dyDescent="0.3">
      <c r="D25" t="s">
        <v>91</v>
      </c>
      <c r="E25">
        <f>'Fremtid vækst'!C9</f>
        <v>15</v>
      </c>
      <c r="F25" t="str">
        <f>IFERROR(IF((E25-E24)/E24&gt;0,
    IF((E25-E24)/E24&gt;0.05, "Recession", "Late"),
    IF((E25-E24)/E24&lt;-0.05, "Early", "Mid")),"")</f>
        <v>Early</v>
      </c>
    </row>
    <row r="26" spans="4:6" x14ac:dyDescent="0.3">
      <c r="D26" t="s">
        <v>92</v>
      </c>
      <c r="E26">
        <f>'Fremtid vækst'!D9</f>
        <v>17</v>
      </c>
      <c r="F26" t="str">
        <f>IFERROR(IF((E26-E25)/E25&gt;0,
IF((E26-E25)/E25&gt;0.05, "Recession", "Late"),
IF((E26-E25)/E25&lt;-0.05, "Early", "Mid")),"")</f>
        <v>Recession</v>
      </c>
    </row>
    <row r="33" spans="1:5" x14ac:dyDescent="0.3">
      <c r="A33" s="41" t="s">
        <v>7</v>
      </c>
      <c r="B33" s="41" t="s">
        <v>113</v>
      </c>
      <c r="C33" s="41" t="s">
        <v>114</v>
      </c>
      <c r="D33" s="41" t="s">
        <v>115</v>
      </c>
      <c r="E33" s="41" t="s">
        <v>116</v>
      </c>
    </row>
    <row r="34" spans="1:5" x14ac:dyDescent="0.3">
      <c r="A34" t="s">
        <v>9</v>
      </c>
      <c r="B34">
        <v>4</v>
      </c>
      <c r="C34">
        <v>4</v>
      </c>
      <c r="D34">
        <v>2</v>
      </c>
      <c r="E34">
        <v>1</v>
      </c>
    </row>
    <row r="35" spans="1:5" x14ac:dyDescent="0.3">
      <c r="A35" t="s">
        <v>10</v>
      </c>
      <c r="B35">
        <v>5</v>
      </c>
      <c r="C35">
        <v>2</v>
      </c>
      <c r="D35">
        <v>3</v>
      </c>
      <c r="E35">
        <v>1</v>
      </c>
    </row>
    <row r="36" spans="1:5" x14ac:dyDescent="0.3">
      <c r="A36" t="s">
        <v>11</v>
      </c>
      <c r="B36">
        <v>5</v>
      </c>
      <c r="C36">
        <v>4</v>
      </c>
      <c r="D36">
        <v>2</v>
      </c>
      <c r="E36">
        <v>1</v>
      </c>
    </row>
    <row r="37" spans="1:5" x14ac:dyDescent="0.3">
      <c r="A37" t="s">
        <v>12</v>
      </c>
      <c r="B37">
        <v>4</v>
      </c>
      <c r="C37">
        <v>5</v>
      </c>
      <c r="D37">
        <v>3</v>
      </c>
      <c r="E37">
        <v>1</v>
      </c>
    </row>
    <row r="38" spans="1:5" x14ac:dyDescent="0.3">
      <c r="A38" t="s">
        <v>13</v>
      </c>
      <c r="B38">
        <v>5</v>
      </c>
      <c r="C38">
        <v>4</v>
      </c>
      <c r="D38">
        <v>2</v>
      </c>
      <c r="E38">
        <v>1</v>
      </c>
    </row>
    <row r="39" spans="1:5" x14ac:dyDescent="0.3">
      <c r="A39" t="s">
        <v>14</v>
      </c>
      <c r="B39">
        <v>4</v>
      </c>
      <c r="C39">
        <v>2</v>
      </c>
      <c r="D39">
        <v>3</v>
      </c>
      <c r="E39">
        <v>2</v>
      </c>
    </row>
    <row r="40" spans="1:5" x14ac:dyDescent="0.3">
      <c r="A40" t="s">
        <v>15</v>
      </c>
      <c r="B40">
        <v>2</v>
      </c>
      <c r="C40">
        <v>2</v>
      </c>
      <c r="D40">
        <v>4</v>
      </c>
      <c r="E40">
        <v>5</v>
      </c>
    </row>
    <row r="41" spans="1:5" x14ac:dyDescent="0.3">
      <c r="A41" t="s">
        <v>16</v>
      </c>
      <c r="B41">
        <v>2</v>
      </c>
      <c r="C41">
        <v>3</v>
      </c>
      <c r="D41">
        <v>3</v>
      </c>
      <c r="E41">
        <v>5</v>
      </c>
    </row>
    <row r="42" spans="1:5" x14ac:dyDescent="0.3">
      <c r="A42" t="s">
        <v>17</v>
      </c>
      <c r="B42">
        <v>2</v>
      </c>
      <c r="C42">
        <v>3</v>
      </c>
      <c r="D42">
        <v>5</v>
      </c>
      <c r="E42">
        <v>1</v>
      </c>
    </row>
    <row r="43" spans="1:5" x14ac:dyDescent="0.3">
      <c r="A43" t="s">
        <v>143</v>
      </c>
      <c r="B43">
        <v>3</v>
      </c>
      <c r="C43">
        <v>4</v>
      </c>
      <c r="D43">
        <v>3</v>
      </c>
      <c r="E43">
        <v>2</v>
      </c>
    </row>
    <row r="44" spans="1:5" x14ac:dyDescent="0.3">
      <c r="A44" t="s">
        <v>19</v>
      </c>
      <c r="B44">
        <v>2</v>
      </c>
      <c r="C44">
        <v>2</v>
      </c>
      <c r="D44">
        <v>4</v>
      </c>
      <c r="E44">
        <v>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3:F44"/>
  <sheetViews>
    <sheetView workbookViewId="0">
      <selection activeCell="E36" sqref="E36"/>
    </sheetView>
  </sheetViews>
  <sheetFormatPr defaultRowHeight="14.4" x14ac:dyDescent="0.3"/>
  <cols>
    <col min="6" max="6" width="11.6640625" bestFit="1" customWidth="1"/>
  </cols>
  <sheetData>
    <row r="3" spans="4:6" x14ac:dyDescent="0.3">
      <c r="D3" t="s">
        <v>138</v>
      </c>
      <c r="E3" t="s">
        <v>101</v>
      </c>
      <c r="F3" t="s">
        <v>134</v>
      </c>
    </row>
    <row r="4" spans="4:6" x14ac:dyDescent="0.3">
      <c r="D4" t="s">
        <v>108</v>
      </c>
      <c r="E4">
        <v>1.1299999999999999</v>
      </c>
    </row>
    <row r="5" spans="4:6" x14ac:dyDescent="0.3">
      <c r="D5" t="s">
        <v>91</v>
      </c>
      <c r="E5">
        <f>'Fremtid vækst'!C22</f>
        <v>1.17</v>
      </c>
      <c r="F5" t="str">
        <f>IFERROR(IF((E5-E4)/E4&gt;0.05, "Recession",
 IF((E5-E4)/E4&gt;0.01, "Late",
  IF((E5-E4)/E4&lt;-0.05, "Early", "Mid"))),"")</f>
        <v>Late</v>
      </c>
    </row>
    <row r="6" spans="4:6" x14ac:dyDescent="0.3">
      <c r="D6" t="s">
        <v>92</v>
      </c>
      <c r="E6">
        <f>'Fremtid vækst'!D22</f>
        <v>1.18</v>
      </c>
      <c r="F6" t="str">
        <f>IFERROR(IF((E6-E5)/E5&gt;0.05, "Recession",
 IF((E6-E5)/E5&gt;0.01, "Late",
  IF((E6-E5)/E5&lt;-0.05, "Early", "Mid"))),"")</f>
        <v>Mid</v>
      </c>
    </row>
    <row r="13" spans="4:6" x14ac:dyDescent="0.3">
      <c r="D13" t="s">
        <v>138</v>
      </c>
      <c r="E13" t="s">
        <v>102</v>
      </c>
      <c r="F13" t="s">
        <v>134</v>
      </c>
    </row>
    <row r="14" spans="4:6" x14ac:dyDescent="0.3">
      <c r="D14" t="s">
        <v>108</v>
      </c>
      <c r="E14">
        <v>1.1299999999999999</v>
      </c>
    </row>
    <row r="15" spans="4:6" x14ac:dyDescent="0.3">
      <c r="D15" t="s">
        <v>91</v>
      </c>
      <c r="E15">
        <f>'Fremtid vækst'!C34</f>
        <v>1.17</v>
      </c>
      <c r="F15" t="str">
        <f>IFERROR(IF((E15-E14)/E14&gt;0.05, "Recession",
 IF((E15-E14)/E14&gt;0.01, "Late",
  IF((E15-E14)/E14&lt;-0.05, "Early", "Mid"))),"")</f>
        <v>Late</v>
      </c>
    </row>
    <row r="16" spans="4:6" x14ac:dyDescent="0.3">
      <c r="D16" t="s">
        <v>92</v>
      </c>
      <c r="E16">
        <f>'Fremtid vækst'!D34</f>
        <v>1.18</v>
      </c>
      <c r="F16" t="str">
        <f>IFERROR(IF((E16-E15)/E15&gt;0.05, "Recession",
IF((E16-E15)/E15&gt;0.01, "Late",
IF((E16-E15)/E15&lt;-0.05, "Early", "Mid"))),"")</f>
        <v>Mid</v>
      </c>
    </row>
    <row r="23" spans="4:6" x14ac:dyDescent="0.3">
      <c r="D23" t="s">
        <v>138</v>
      </c>
      <c r="E23" t="s">
        <v>90</v>
      </c>
      <c r="F23" t="s">
        <v>134</v>
      </c>
    </row>
    <row r="24" spans="4:6" x14ac:dyDescent="0.3">
      <c r="D24" t="s">
        <v>108</v>
      </c>
      <c r="E24">
        <v>1.1299999999999999</v>
      </c>
    </row>
    <row r="25" spans="4:6" x14ac:dyDescent="0.3">
      <c r="D25" t="s">
        <v>91</v>
      </c>
      <c r="E25">
        <f>'Fremtid vækst'!C10</f>
        <v>1.17</v>
      </c>
      <c r="F25" t="str">
        <f>IFERROR(IF((E25-E24)/E24&gt;0.05, "Recession",
 IF((E25-E24)/E24&gt;0.01, "Late",
  IF((E25-E24)/E24&lt;-0.05, "Early", "Mid"))),"")</f>
        <v>Late</v>
      </c>
    </row>
    <row r="26" spans="4:6" x14ac:dyDescent="0.3">
      <c r="D26" t="s">
        <v>92</v>
      </c>
      <c r="E26">
        <f>'Fremtid vækst'!D10</f>
        <v>1.18</v>
      </c>
      <c r="F26" t="str">
        <f>IFERROR(IF((E26-E25)/E25&gt;0.05, "Recession",
IF((E26-E25)/E25&gt;0.01, "Late",
IF((E26-E25)/E25&lt;-0.05, "Early", "Mid"))),"")</f>
        <v>Mid</v>
      </c>
    </row>
    <row r="33" spans="1:5" x14ac:dyDescent="0.3">
      <c r="A33" s="41" t="s">
        <v>7</v>
      </c>
      <c r="B33" s="41" t="s">
        <v>113</v>
      </c>
      <c r="C33" s="41" t="s">
        <v>114</v>
      </c>
      <c r="D33" s="41" t="s">
        <v>115</v>
      </c>
      <c r="E33" s="41" t="s">
        <v>116</v>
      </c>
    </row>
    <row r="34" spans="1:5" x14ac:dyDescent="0.3">
      <c r="A34" t="s">
        <v>9</v>
      </c>
      <c r="B34">
        <v>4</v>
      </c>
      <c r="C34">
        <v>4</v>
      </c>
      <c r="D34">
        <v>2</v>
      </c>
      <c r="E34">
        <v>1</v>
      </c>
    </row>
    <row r="35" spans="1:5" x14ac:dyDescent="0.3">
      <c r="A35" t="s">
        <v>10</v>
      </c>
      <c r="B35">
        <v>5</v>
      </c>
      <c r="C35">
        <v>2</v>
      </c>
      <c r="D35">
        <v>3</v>
      </c>
      <c r="E35">
        <v>1</v>
      </c>
    </row>
    <row r="36" spans="1:5" x14ac:dyDescent="0.3">
      <c r="A36" t="s">
        <v>11</v>
      </c>
      <c r="B36">
        <v>5</v>
      </c>
      <c r="C36">
        <v>4</v>
      </c>
      <c r="D36">
        <v>2</v>
      </c>
      <c r="E36">
        <v>1</v>
      </c>
    </row>
    <row r="37" spans="1:5" x14ac:dyDescent="0.3">
      <c r="A37" t="s">
        <v>12</v>
      </c>
      <c r="B37">
        <v>4</v>
      </c>
      <c r="C37">
        <v>5</v>
      </c>
      <c r="D37">
        <v>3</v>
      </c>
      <c r="E37">
        <v>1</v>
      </c>
    </row>
    <row r="38" spans="1:5" x14ac:dyDescent="0.3">
      <c r="A38" t="s">
        <v>13</v>
      </c>
      <c r="B38">
        <v>5</v>
      </c>
      <c r="C38">
        <v>4</v>
      </c>
      <c r="D38">
        <v>2</v>
      </c>
      <c r="E38">
        <v>1</v>
      </c>
    </row>
    <row r="39" spans="1:5" x14ac:dyDescent="0.3">
      <c r="A39" t="s">
        <v>14</v>
      </c>
      <c r="B39">
        <v>4</v>
      </c>
      <c r="C39">
        <v>2</v>
      </c>
      <c r="D39">
        <v>3</v>
      </c>
      <c r="E39">
        <v>2</v>
      </c>
    </row>
    <row r="40" spans="1:5" x14ac:dyDescent="0.3">
      <c r="A40" t="s">
        <v>15</v>
      </c>
      <c r="B40">
        <v>2</v>
      </c>
      <c r="C40">
        <v>2</v>
      </c>
      <c r="D40">
        <v>4</v>
      </c>
      <c r="E40">
        <v>5</v>
      </c>
    </row>
    <row r="41" spans="1:5" x14ac:dyDescent="0.3">
      <c r="A41" t="s">
        <v>16</v>
      </c>
      <c r="B41">
        <v>2</v>
      </c>
      <c r="C41">
        <v>3</v>
      </c>
      <c r="D41">
        <v>3</v>
      </c>
      <c r="E41">
        <v>5</v>
      </c>
    </row>
    <row r="42" spans="1:5" x14ac:dyDescent="0.3">
      <c r="A42" t="s">
        <v>17</v>
      </c>
      <c r="B42">
        <v>2</v>
      </c>
      <c r="C42">
        <v>3</v>
      </c>
      <c r="D42">
        <v>5</v>
      </c>
      <c r="E42">
        <v>1</v>
      </c>
    </row>
    <row r="43" spans="1:5" x14ac:dyDescent="0.3">
      <c r="A43" t="s">
        <v>143</v>
      </c>
      <c r="B43">
        <v>3</v>
      </c>
      <c r="C43">
        <v>4</v>
      </c>
      <c r="D43">
        <v>3</v>
      </c>
      <c r="E43">
        <v>2</v>
      </c>
    </row>
    <row r="44" spans="1:5" x14ac:dyDescent="0.3">
      <c r="A44" t="s">
        <v>19</v>
      </c>
      <c r="B44">
        <v>2</v>
      </c>
      <c r="C44">
        <v>2</v>
      </c>
      <c r="D44">
        <v>4</v>
      </c>
      <c r="E44">
        <v>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70C0"/>
  </sheetPr>
  <dimension ref="A3:F44"/>
  <sheetViews>
    <sheetView topLeftCell="A10" workbookViewId="0">
      <selection activeCell="G18" sqref="G18"/>
    </sheetView>
  </sheetViews>
  <sheetFormatPr defaultRowHeight="14.4" x14ac:dyDescent="0.3"/>
  <sheetData>
    <row r="3" spans="4:6" x14ac:dyDescent="0.3">
      <c r="D3" t="s">
        <v>138</v>
      </c>
      <c r="E3" t="s">
        <v>101</v>
      </c>
      <c r="F3" t="s">
        <v>134</v>
      </c>
    </row>
    <row r="5" spans="4:6" x14ac:dyDescent="0.3">
      <c r="D5" t="s">
        <v>91</v>
      </c>
      <c r="E5">
        <f>'Fremtid vækst'!C23</f>
        <v>6.3E-2</v>
      </c>
      <c r="F5" t="str">
        <f>IF(E5&lt;0.045,"Early",IF(E5&lt;=0.055,"Mid",IF(E5&lt;=0.065,"Late","Recession")))</f>
        <v>Late</v>
      </c>
    </row>
    <row r="6" spans="4:6" x14ac:dyDescent="0.3">
      <c r="D6" t="s">
        <v>92</v>
      </c>
      <c r="E6">
        <f>'Fremtid vækst'!D23</f>
        <v>6.2E-2</v>
      </c>
      <c r="F6" t="str">
        <f>IF(E6&lt;0.045,"Early",IF(E6&lt;=0.055,"Mid",IF(E6&lt;=0.065,"Late","Recession")))</f>
        <v>Late</v>
      </c>
    </row>
    <row r="13" spans="4:6" x14ac:dyDescent="0.3">
      <c r="D13" t="s">
        <v>138</v>
      </c>
      <c r="E13" t="s">
        <v>102</v>
      </c>
      <c r="F13" t="s">
        <v>134</v>
      </c>
    </row>
    <row r="15" spans="4:6" x14ac:dyDescent="0.3">
      <c r="D15" t="s">
        <v>91</v>
      </c>
      <c r="E15">
        <f>'Fremtid vækst'!C35</f>
        <v>4.3999999999999997E-2</v>
      </c>
      <c r="F15" t="str">
        <f>IF(E15&lt;0.045,"Early",IF(E15&lt;=0.055,"Mid",IF(E15&lt;=0.065,"Late","Recession")))</f>
        <v>Early</v>
      </c>
    </row>
    <row r="16" spans="4:6" x14ac:dyDescent="0.3">
      <c r="D16" t="s">
        <v>92</v>
      </c>
      <c r="E16">
        <f>'Fremtid vækst'!D35</f>
        <v>4.3999999999999997E-2</v>
      </c>
      <c r="F16" t="str">
        <f>IF(E16&lt;0.045,"Early",IF(E16&lt;=0.055,"Mid",IF(E16&lt;=0.065,"Late","Recession")))</f>
        <v>Early</v>
      </c>
    </row>
    <row r="23" spans="4:6" x14ac:dyDescent="0.3">
      <c r="D23" t="s">
        <v>138</v>
      </c>
      <c r="E23" t="s">
        <v>90</v>
      </c>
      <c r="F23" t="s">
        <v>134</v>
      </c>
    </row>
    <row r="25" spans="4:6" x14ac:dyDescent="0.3">
      <c r="D25" t="s">
        <v>91</v>
      </c>
      <c r="E25">
        <f>'Fremtid vækst'!C11</f>
        <v>3.3000000000000002E-2</v>
      </c>
      <c r="F25" t="str">
        <f>IF(E25&lt;0.045,"Early",IF(E25&lt;=0.055,"Mid",IF(E25&lt;=0.065,"Late","Recession")))</f>
        <v>Early</v>
      </c>
    </row>
    <row r="26" spans="4:6" x14ac:dyDescent="0.3">
      <c r="D26" t="s">
        <v>92</v>
      </c>
      <c r="E26">
        <f>'Fremtid vækst'!D11</f>
        <v>3.3000000000000002E-2</v>
      </c>
      <c r="F26" t="str">
        <f>IF(E26&lt;0.045,"Early",IF(E26&lt;=0.055,"Mid",IF(E26&lt;=0.065,"Late","Recession")))</f>
        <v>Early</v>
      </c>
    </row>
    <row r="33" spans="1:5" x14ac:dyDescent="0.3">
      <c r="A33" s="41" t="s">
        <v>7</v>
      </c>
      <c r="B33" s="41" t="s">
        <v>113</v>
      </c>
      <c r="C33" s="41" t="s">
        <v>114</v>
      </c>
      <c r="D33" s="41" t="s">
        <v>115</v>
      </c>
      <c r="E33" s="41" t="s">
        <v>116</v>
      </c>
    </row>
    <row r="34" spans="1:5" x14ac:dyDescent="0.3">
      <c r="A34" t="s">
        <v>9</v>
      </c>
      <c r="B34">
        <v>4</v>
      </c>
      <c r="C34">
        <v>4</v>
      </c>
      <c r="D34">
        <v>2</v>
      </c>
      <c r="E34">
        <v>1</v>
      </c>
    </row>
    <row r="35" spans="1:5" x14ac:dyDescent="0.3">
      <c r="A35" t="s">
        <v>10</v>
      </c>
      <c r="B35">
        <v>5</v>
      </c>
      <c r="C35">
        <v>2</v>
      </c>
      <c r="D35">
        <v>3</v>
      </c>
      <c r="E35">
        <v>1</v>
      </c>
    </row>
    <row r="36" spans="1:5" x14ac:dyDescent="0.3">
      <c r="A36" t="s">
        <v>11</v>
      </c>
      <c r="B36">
        <v>5</v>
      </c>
      <c r="C36">
        <v>4</v>
      </c>
      <c r="D36">
        <v>2</v>
      </c>
      <c r="E36">
        <v>1</v>
      </c>
    </row>
    <row r="37" spans="1:5" x14ac:dyDescent="0.3">
      <c r="A37" t="s">
        <v>12</v>
      </c>
      <c r="B37">
        <v>4</v>
      </c>
      <c r="C37">
        <v>5</v>
      </c>
      <c r="D37">
        <v>3</v>
      </c>
      <c r="E37">
        <v>1</v>
      </c>
    </row>
    <row r="38" spans="1:5" x14ac:dyDescent="0.3">
      <c r="A38" t="s">
        <v>13</v>
      </c>
      <c r="B38">
        <v>5</v>
      </c>
      <c r="C38">
        <v>4</v>
      </c>
      <c r="D38">
        <v>2</v>
      </c>
      <c r="E38">
        <v>1</v>
      </c>
    </row>
    <row r="39" spans="1:5" x14ac:dyDescent="0.3">
      <c r="A39" t="s">
        <v>14</v>
      </c>
      <c r="B39">
        <v>4</v>
      </c>
      <c r="C39">
        <v>2</v>
      </c>
      <c r="D39">
        <v>3</v>
      </c>
      <c r="E39">
        <v>2</v>
      </c>
    </row>
    <row r="40" spans="1:5" x14ac:dyDescent="0.3">
      <c r="A40" t="s">
        <v>15</v>
      </c>
      <c r="B40">
        <v>2</v>
      </c>
      <c r="C40">
        <v>2</v>
      </c>
      <c r="D40">
        <v>4</v>
      </c>
      <c r="E40">
        <v>5</v>
      </c>
    </row>
    <row r="41" spans="1:5" x14ac:dyDescent="0.3">
      <c r="A41" t="s">
        <v>16</v>
      </c>
      <c r="B41">
        <v>2</v>
      </c>
      <c r="C41">
        <v>3</v>
      </c>
      <c r="D41">
        <v>3</v>
      </c>
      <c r="E41">
        <v>5</v>
      </c>
    </row>
    <row r="42" spans="1:5" x14ac:dyDescent="0.3">
      <c r="A42" t="s">
        <v>17</v>
      </c>
      <c r="B42">
        <v>2</v>
      </c>
      <c r="C42">
        <v>3</v>
      </c>
      <c r="D42">
        <v>5</v>
      </c>
      <c r="E42">
        <v>1</v>
      </c>
    </row>
    <row r="43" spans="1:5" x14ac:dyDescent="0.3">
      <c r="A43" t="s">
        <v>143</v>
      </c>
      <c r="B43">
        <v>3</v>
      </c>
      <c r="C43">
        <v>4</v>
      </c>
      <c r="D43">
        <v>3</v>
      </c>
      <c r="E43">
        <v>2</v>
      </c>
    </row>
    <row r="44" spans="1:5" x14ac:dyDescent="0.3">
      <c r="A44" t="s">
        <v>19</v>
      </c>
      <c r="B44">
        <v>2</v>
      </c>
      <c r="C44">
        <v>2</v>
      </c>
      <c r="D44">
        <v>4</v>
      </c>
      <c r="E44">
        <v>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1" tint="4.9989318521683403E-2"/>
  </sheetPr>
  <dimension ref="A1"/>
  <sheetViews>
    <sheetView workbookViewId="0">
      <selection activeCell="N22" sqref="N22"/>
    </sheetView>
  </sheetViews>
  <sheetFormatPr defaultRowHeight="14.4" x14ac:dyDescent="0.3"/>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2060"/>
  </sheetPr>
  <dimension ref="A1:E34"/>
  <sheetViews>
    <sheetView workbookViewId="0">
      <selection activeCell="E13" sqref="E13"/>
    </sheetView>
  </sheetViews>
  <sheetFormatPr defaultRowHeight="14.4" x14ac:dyDescent="0.3"/>
  <cols>
    <col min="1" max="1" width="28.44140625" bestFit="1" customWidth="1"/>
    <col min="2" max="2" width="32.88671875" bestFit="1" customWidth="1"/>
    <col min="3" max="3" width="14" bestFit="1" customWidth="1"/>
    <col min="4" max="4" width="13.5546875" bestFit="1" customWidth="1"/>
    <col min="5" max="5" width="22.33203125" bestFit="1" customWidth="1"/>
  </cols>
  <sheetData>
    <row r="1" spans="1:5" x14ac:dyDescent="0.3">
      <c r="A1" s="41" t="s">
        <v>3</v>
      </c>
      <c r="B1" s="41" t="s">
        <v>156</v>
      </c>
      <c r="C1" s="41" t="s">
        <v>157</v>
      </c>
      <c r="D1" s="41" t="s">
        <v>158</v>
      </c>
      <c r="E1" s="1" t="s">
        <v>7</v>
      </c>
    </row>
    <row r="2" spans="1:5" x14ac:dyDescent="0.3">
      <c r="A2" t="s">
        <v>159</v>
      </c>
      <c r="B2" t="s">
        <v>160</v>
      </c>
      <c r="C2" t="s">
        <v>161</v>
      </c>
      <c r="D2" t="s">
        <v>162</v>
      </c>
      <c r="E2" t="s">
        <v>9</v>
      </c>
    </row>
    <row r="3" spans="1:5" x14ac:dyDescent="0.3">
      <c r="A3" t="s">
        <v>163</v>
      </c>
      <c r="B3" t="s">
        <v>164</v>
      </c>
      <c r="C3" t="s">
        <v>165</v>
      </c>
      <c r="D3" t="s">
        <v>162</v>
      </c>
      <c r="E3" t="s">
        <v>119</v>
      </c>
    </row>
    <row r="4" spans="1:5" x14ac:dyDescent="0.3">
      <c r="A4" t="s">
        <v>166</v>
      </c>
      <c r="B4" t="s">
        <v>167</v>
      </c>
      <c r="C4" t="s">
        <v>168</v>
      </c>
      <c r="D4" t="s">
        <v>162</v>
      </c>
      <c r="E4" t="s">
        <v>122</v>
      </c>
    </row>
    <row r="5" spans="1:5" x14ac:dyDescent="0.3">
      <c r="A5" t="s">
        <v>169</v>
      </c>
      <c r="B5" t="s">
        <v>170</v>
      </c>
      <c r="C5" t="s">
        <v>171</v>
      </c>
      <c r="D5" t="s">
        <v>102</v>
      </c>
      <c r="E5" t="s">
        <v>12</v>
      </c>
    </row>
    <row r="6" spans="1:5" x14ac:dyDescent="0.3">
      <c r="A6" t="s">
        <v>172</v>
      </c>
      <c r="B6" t="s">
        <v>173</v>
      </c>
      <c r="C6" t="s">
        <v>174</v>
      </c>
      <c r="D6" t="s">
        <v>162</v>
      </c>
      <c r="E6" t="s">
        <v>13</v>
      </c>
    </row>
    <row r="7" spans="1:5" x14ac:dyDescent="0.3">
      <c r="A7" t="s">
        <v>175</v>
      </c>
      <c r="B7" t="s">
        <v>176</v>
      </c>
      <c r="C7" t="s">
        <v>177</v>
      </c>
      <c r="D7" t="s">
        <v>162</v>
      </c>
      <c r="E7" t="s">
        <v>14</v>
      </c>
    </row>
    <row r="8" spans="1:5" x14ac:dyDescent="0.3">
      <c r="A8" t="s">
        <v>178</v>
      </c>
      <c r="B8" t="s">
        <v>179</v>
      </c>
      <c r="C8" t="s">
        <v>180</v>
      </c>
      <c r="D8" t="s">
        <v>162</v>
      </c>
      <c r="E8" t="s">
        <v>181</v>
      </c>
    </row>
    <row r="9" spans="1:5" x14ac:dyDescent="0.3">
      <c r="A9" t="s">
        <v>182</v>
      </c>
      <c r="B9" t="s">
        <v>183</v>
      </c>
      <c r="C9" t="s">
        <v>184</v>
      </c>
      <c r="D9" t="s">
        <v>162</v>
      </c>
      <c r="E9" t="s">
        <v>185</v>
      </c>
    </row>
    <row r="10" spans="1:5" x14ac:dyDescent="0.3">
      <c r="A10" t="s">
        <v>186</v>
      </c>
      <c r="B10" t="s">
        <v>187</v>
      </c>
      <c r="C10" t="s">
        <v>188</v>
      </c>
      <c r="D10" t="s">
        <v>162</v>
      </c>
      <c r="E10" t="s">
        <v>17</v>
      </c>
    </row>
    <row r="11" spans="1:5" x14ac:dyDescent="0.3">
      <c r="A11" t="s">
        <v>189</v>
      </c>
      <c r="B11" t="s">
        <v>190</v>
      </c>
      <c r="C11" t="s">
        <v>191</v>
      </c>
      <c r="D11" t="s">
        <v>101</v>
      </c>
      <c r="E11" t="s">
        <v>18</v>
      </c>
    </row>
    <row r="12" spans="1:5" x14ac:dyDescent="0.3">
      <c r="A12" t="s">
        <v>192</v>
      </c>
      <c r="B12" t="s">
        <v>193</v>
      </c>
      <c r="C12" t="s">
        <v>194</v>
      </c>
      <c r="D12" t="s">
        <v>162</v>
      </c>
      <c r="E12" t="s">
        <v>19</v>
      </c>
    </row>
    <row r="13" spans="1:5" x14ac:dyDescent="0.3">
      <c r="A13" t="s">
        <v>195</v>
      </c>
      <c r="B13" t="s">
        <v>196</v>
      </c>
      <c r="C13" t="s">
        <v>197</v>
      </c>
      <c r="D13" t="s">
        <v>198</v>
      </c>
      <c r="E13" t="s">
        <v>199</v>
      </c>
    </row>
    <row r="14" spans="1:5" x14ac:dyDescent="0.3">
      <c r="A14" t="s">
        <v>200</v>
      </c>
      <c r="B14" t="s">
        <v>201</v>
      </c>
      <c r="C14" t="s">
        <v>202</v>
      </c>
      <c r="D14" t="s">
        <v>198</v>
      </c>
      <c r="E14" t="s">
        <v>199</v>
      </c>
    </row>
    <row r="15" spans="1:5" x14ac:dyDescent="0.3">
      <c r="A15" t="s">
        <v>203</v>
      </c>
      <c r="B15" t="s">
        <v>204</v>
      </c>
      <c r="C15" t="s">
        <v>205</v>
      </c>
      <c r="D15" t="s">
        <v>198</v>
      </c>
      <c r="E15" t="s">
        <v>199</v>
      </c>
    </row>
    <row r="16" spans="1:5" x14ac:dyDescent="0.3">
      <c r="A16" t="s">
        <v>206</v>
      </c>
      <c r="B16" t="s">
        <v>207</v>
      </c>
      <c r="C16" t="s">
        <v>208</v>
      </c>
      <c r="D16" t="s">
        <v>101</v>
      </c>
      <c r="E16" t="s">
        <v>199</v>
      </c>
    </row>
    <row r="17" spans="1:5" x14ac:dyDescent="0.3">
      <c r="A17" t="s">
        <v>209</v>
      </c>
      <c r="B17" t="s">
        <v>210</v>
      </c>
      <c r="C17" t="s">
        <v>211</v>
      </c>
      <c r="D17" t="s">
        <v>212</v>
      </c>
      <c r="E17" t="s">
        <v>213</v>
      </c>
    </row>
    <row r="18" spans="1:5" x14ac:dyDescent="0.3">
      <c r="A18" t="s">
        <v>214</v>
      </c>
      <c r="B18" t="s">
        <v>215</v>
      </c>
      <c r="C18" t="s">
        <v>216</v>
      </c>
      <c r="D18" t="s">
        <v>217</v>
      </c>
      <c r="E18" t="s">
        <v>213</v>
      </c>
    </row>
    <row r="19" spans="1:5" x14ac:dyDescent="0.3">
      <c r="A19" t="s">
        <v>218</v>
      </c>
      <c r="B19" t="s">
        <v>219</v>
      </c>
      <c r="C19" t="s">
        <v>220</v>
      </c>
      <c r="D19" t="s">
        <v>221</v>
      </c>
      <c r="E19" t="s">
        <v>213</v>
      </c>
    </row>
    <row r="24" spans="1:5" x14ac:dyDescent="0.3">
      <c r="D24" s="39"/>
    </row>
    <row r="25" spans="1:5" x14ac:dyDescent="0.3">
      <c r="D25" s="39"/>
    </row>
    <row r="26" spans="1:5" x14ac:dyDescent="0.3">
      <c r="D26" s="39"/>
    </row>
    <row r="27" spans="1:5" x14ac:dyDescent="0.3">
      <c r="D27" s="39"/>
    </row>
    <row r="28" spans="1:5" x14ac:dyDescent="0.3">
      <c r="D28" s="39"/>
    </row>
    <row r="29" spans="1:5" x14ac:dyDescent="0.3">
      <c r="D29" s="39"/>
    </row>
    <row r="30" spans="1:5" x14ac:dyDescent="0.3">
      <c r="D30" s="39"/>
    </row>
    <row r="31" spans="1:5" x14ac:dyDescent="0.3">
      <c r="D31" s="39"/>
    </row>
    <row r="32" spans="1:5" x14ac:dyDescent="0.3">
      <c r="D32" s="39"/>
    </row>
    <row r="33" spans="4:4" x14ac:dyDescent="0.3">
      <c r="D33" s="39"/>
    </row>
    <row r="34" spans="4:4" x14ac:dyDescent="0.3">
      <c r="D34" s="3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K25"/>
  <sheetViews>
    <sheetView workbookViewId="0">
      <selection activeCell="C20" sqref="C20"/>
    </sheetView>
  </sheetViews>
  <sheetFormatPr defaultRowHeight="14.4" x14ac:dyDescent="0.3"/>
  <cols>
    <col min="1" max="1" width="37" bestFit="1" customWidth="1"/>
    <col min="2" max="2" width="11.33203125" bestFit="1" customWidth="1"/>
    <col min="3" max="3" width="20.33203125" bestFit="1" customWidth="1"/>
    <col min="5" max="5" width="37.33203125" bestFit="1" customWidth="1"/>
    <col min="6" max="6" width="37.33203125" customWidth="1"/>
    <col min="7" max="7" width="15.33203125" bestFit="1" customWidth="1"/>
    <col min="8" max="8" width="12.6640625" bestFit="1" customWidth="1"/>
    <col min="9" max="9" width="17.5546875" bestFit="1" customWidth="1"/>
    <col min="10" max="10" width="14.5546875" bestFit="1" customWidth="1"/>
  </cols>
  <sheetData>
    <row r="1" spans="1:11" x14ac:dyDescent="0.3">
      <c r="A1" s="1" t="s">
        <v>222</v>
      </c>
      <c r="B1" t="s">
        <v>223</v>
      </c>
      <c r="C1" t="s">
        <v>224</v>
      </c>
      <c r="D1" t="s">
        <v>226</v>
      </c>
      <c r="E1" t="s">
        <v>227</v>
      </c>
      <c r="F1" t="s">
        <v>7</v>
      </c>
      <c r="G1" t="s">
        <v>228</v>
      </c>
      <c r="H1" t="s">
        <v>229</v>
      </c>
      <c r="I1" t="s">
        <v>261</v>
      </c>
      <c r="J1" t="s">
        <v>225</v>
      </c>
    </row>
    <row r="2" spans="1:11" x14ac:dyDescent="0.3">
      <c r="A2" t="e" vm="1">
        <v>#VALUE!</v>
      </c>
      <c r="B2" s="77" cm="1">
        <f t="array" aca="1" ref="B2" ca="1">_FV(A2,"Price")</f>
        <v>997</v>
      </c>
      <c r="C2" s="78" cm="1">
        <f t="array" aca="1" ref="C2" ca="1">_FV(A2,"Market cap",TRUE)</f>
        <v>116506900000</v>
      </c>
      <c r="D2" s="68" cm="1">
        <f t="array" aca="1" ref="D2" ca="1">_FV(A2,"Change (%)",TRUE)</f>
        <v>-1.7734E-2</v>
      </c>
      <c r="E2" t="str" cm="1">
        <f t="array" aca="1" ref="E2" ca="1">_FV(A2,"Industry")</f>
        <v>Beverages</v>
      </c>
      <c r="F2" t="s">
        <v>122</v>
      </c>
      <c r="G2" s="32" cm="1">
        <f t="array" aca="1" ref="G2" ca="1">_FV(A2,"P/E",TRUE)</f>
        <v>19.82</v>
      </c>
      <c r="H2" s="34" t="str" cm="1">
        <f t="array" aca="1" ref="H2" ca="1">_FV(A2,"Ticker symbol",TRUE)</f>
        <v>CARL B</v>
      </c>
      <c r="I2" s="94" cm="1">
        <f t="array" aca="1" ref="I2" ca="1">_FV(A2,"Shares outstanding",TRUE)</f>
        <v>132656800</v>
      </c>
      <c r="J2" s="32" cm="1">
        <f t="array" aca="1" ref="J2" ca="1">_FV(A2,"Beta")</f>
        <v>0.35949999999999999</v>
      </c>
      <c r="K2" t="e" vm="1">
        <f>A2</f>
        <v>#VALUE!</v>
      </c>
    </row>
    <row r="3" spans="1:11" x14ac:dyDescent="0.3">
      <c r="A3" t="e" vm="2">
        <v>#VALUE!</v>
      </c>
      <c r="B3" s="77" cm="1">
        <f t="array" aca="1" ref="B3" ca="1">_FV(A3,"Price")</f>
        <v>539.79999999999995</v>
      </c>
      <c r="C3" s="78" cm="1">
        <f t="array" aca="1" ref="C3" ca="1">_FV(A3,"Market cap",TRUE)</f>
        <v>45188000000</v>
      </c>
      <c r="D3" s="68" cm="1">
        <f t="array" aca="1" ref="D3" ca="1">_FV(A3,"Change (%)",TRUE)</f>
        <v>5.9630000000000004E-3</v>
      </c>
      <c r="E3" t="str" cm="1">
        <f t="array" aca="1" ref="E3" ca="1">_FV(A3,"Industry")</f>
        <v>Textiles &amp; Apparel</v>
      </c>
      <c r="F3" t="s">
        <v>122</v>
      </c>
      <c r="G3" s="32" cm="1">
        <f t="array" aca="1" ref="G3" ca="1">_FV(A3,"P/E",TRUE)</f>
        <v>7.85</v>
      </c>
      <c r="H3" s="34" t="str" cm="1">
        <f t="array" aca="1" ref="H3" ca="1">_FV(A3,"Ticker symbol",TRUE)</f>
        <v>PNDORA</v>
      </c>
      <c r="I3" s="94" cm="1">
        <f t="array" aca="1" ref="I3" ca="1">_FV(A3,"Shares outstanding",TRUE)</f>
        <v>79000000</v>
      </c>
      <c r="J3" s="32" cm="1">
        <f t="array" aca="1" ref="J3" ca="1">_FV(A3,"Beta")</f>
        <v>0.96109999999999995</v>
      </c>
    </row>
    <row r="4" spans="1:11" x14ac:dyDescent="0.3">
      <c r="A4" t="e" vm="3">
        <v>#VALUE!</v>
      </c>
      <c r="B4" s="77" cm="1">
        <f t="array" aca="1" ref="B4" ca="1">_FV(A4,"Price")</f>
        <v>638.5</v>
      </c>
      <c r="C4" s="78" cm="1">
        <f t="array" aca="1" ref="C4" ca="1">_FV(A4,"Market cap",TRUE)</f>
        <v>28865000000</v>
      </c>
      <c r="D4" s="68" cm="1">
        <f t="array" aca="1" ref="D4" ca="1">_FV(A4,"Change (%)",TRUE)</f>
        <v>-8.539999999999999E-3</v>
      </c>
      <c r="E4" t="str" cm="1">
        <f t="array" aca="1" ref="E4" ca="1">_FV(A4,"Industry")</f>
        <v>Beverages</v>
      </c>
      <c r="F4" t="s">
        <v>181</v>
      </c>
      <c r="G4" s="32" cm="1">
        <f t="array" aca="1" ref="G4" ca="1">_FV(A4,"P/E",TRUE)</f>
        <v>22.08</v>
      </c>
      <c r="H4" s="34" t="str" cm="1">
        <f t="array" aca="1" ref="H4" ca="1">_FV(A4,"Ticker symbol",TRUE)</f>
        <v>RBREW</v>
      </c>
      <c r="I4" s="94" cm="1">
        <f t="array" aca="1" ref="I4" ca="1">_FV(A4,"Shares outstanding",TRUE)</f>
        <v>50200000</v>
      </c>
      <c r="J4" s="32" cm="1">
        <f t="array" aca="1" ref="J4" ca="1">_FV(A4,"Beta")</f>
        <v>0.3624</v>
      </c>
    </row>
    <row r="5" spans="1:11" x14ac:dyDescent="0.3">
      <c r="A5" t="e" vm="4">
        <v>#VALUE!</v>
      </c>
      <c r="B5" s="77" cm="1">
        <f t="array" aca="1" ref="B5" ca="1">_FV(A5,"Price")</f>
        <v>146.75</v>
      </c>
      <c r="C5" s="78" cm="1">
        <f t="array" aca="1" ref="C5" ca="1">_FV(A5,"Market cap",TRUE)</f>
        <v>177833200000</v>
      </c>
      <c r="D5" s="68" cm="1">
        <f t="array" aca="1" ref="D5" ca="1">_FV(A5,"Change (%)",TRUE)</f>
        <v>2.7329999999999998E-3</v>
      </c>
      <c r="E5" t="str" cm="1">
        <f t="array" aca="1" ref="E5" ca="1">_FV(A5,"Industry")</f>
        <v>Electrical Utilities &amp; IPPs</v>
      </c>
      <c r="F5" t="s">
        <v>17</v>
      </c>
      <c r="G5" s="32" cm="1">
        <f t="array" aca="1" ref="G5" ca="1">_FV(A5,"P/E",TRUE)</f>
        <v>47.71</v>
      </c>
      <c r="H5" s="34" t="str" cm="1">
        <f t="array" aca="1" ref="H5" ca="1">_FV(A5,"Ticker symbol",TRUE)</f>
        <v>ORSTED</v>
      </c>
      <c r="I5" s="94" cm="1">
        <f t="array" aca="1" ref="I5" ca="1">_FV(A5,"Shares outstanding",TRUE)</f>
        <v>1321198000</v>
      </c>
      <c r="J5" s="32" cm="1">
        <f t="array" aca="1" ref="J5" ca="1">_FV(A5,"Beta")</f>
        <v>0.53900000000000003</v>
      </c>
    </row>
    <row r="6" spans="1:11" x14ac:dyDescent="0.3">
      <c r="A6" t="e" vm="5">
        <v>#VALUE!</v>
      </c>
      <c r="B6" s="77" cm="1">
        <f t="array" aca="1" ref="B6" ca="1">_FV(A6,"Price")</f>
        <v>325.89999999999998</v>
      </c>
      <c r="C6" s="78" cm="1">
        <f t="array" aca="1" ref="C6" ca="1">_FV(A6,"Market cap",TRUE)</f>
        <v>266697400000</v>
      </c>
      <c r="D6" s="68" cm="1">
        <f t="array" aca="1" ref="D6" ca="1">_FV(A6,"Change (%)",TRUE)</f>
        <v>-3.5228000000000002E-2</v>
      </c>
      <c r="E6" t="str" cm="1">
        <f t="array" aca="1" ref="E6" ca="1">_FV(A6,"Industry")</f>
        <v>Banking Services</v>
      </c>
      <c r="F6" t="s">
        <v>9</v>
      </c>
      <c r="G6" s="32" cm="1">
        <f t="array" aca="1" ref="G6" ca="1">_FV(A6,"P/E",TRUE)</f>
        <v>12.08</v>
      </c>
      <c r="H6" s="34" t="str" cm="1">
        <f t="array" aca="1" ref="H6" ca="1">_FV(A6,"Ticker symbol",TRUE)</f>
        <v>DANSKE</v>
      </c>
      <c r="I6" s="94" cm="1">
        <f t="array" aca="1" ref="I6" ca="1">_FV(A6,"Shares outstanding",TRUE)</f>
        <v>834995100</v>
      </c>
      <c r="J6" s="32" cm="1">
        <f t="array" aca="1" ref="J6" ca="1">_FV(A6,"Beta")</f>
        <v>0.40960000000000002</v>
      </c>
    </row>
    <row r="7" spans="1:11" x14ac:dyDescent="0.3">
      <c r="A7" t="e" vm="6">
        <v>#VALUE!</v>
      </c>
      <c r="B7" s="77" cm="1">
        <f t="array" aca="1" ref="B7" ca="1">_FV(A7,"Price")</f>
        <v>152.30000000000001</v>
      </c>
      <c r="C7" s="78" cm="1">
        <f t="array" aca="1" ref="C7" ca="1">_FV(A7,"Market cap",TRUE)</f>
        <v>97391930000</v>
      </c>
      <c r="D7" s="68" cm="1">
        <f t="array" aca="1" ref="D7" ca="1">_FV(A7,"Change (%)",TRUE)</f>
        <v>2.6329999999999999E-3</v>
      </c>
      <c r="E7" t="str" cm="1">
        <f t="array" aca="1" ref="E7" ca="1">_FV(A7,"Industry")</f>
        <v>Insurance</v>
      </c>
      <c r="F7" t="s">
        <v>9</v>
      </c>
      <c r="G7" s="32" cm="1">
        <f t="array" aca="1" ref="G7" ca="1">_FV(A7,"P/E",TRUE)</f>
        <v>17.190000000000001</v>
      </c>
      <c r="H7" s="34" t="str" cm="1">
        <f t="array" aca="1" ref="H7" ca="1">_FV(A7,"Ticker symbol",TRUE)</f>
        <v>TRYG</v>
      </c>
      <c r="I7" s="94" cm="1">
        <f t="array" aca="1" ref="I7" ca="1">_FV(A7,"Shares outstanding",TRUE)</f>
        <v>611374300</v>
      </c>
      <c r="J7" s="32" cm="1">
        <f t="array" aca="1" ref="J7" ca="1">_FV(A7,"Beta")</f>
        <v>0.26929999999999998</v>
      </c>
    </row>
    <row r="8" spans="1:11" x14ac:dyDescent="0.3">
      <c r="A8" t="e" vm="7">
        <v>#VALUE!</v>
      </c>
      <c r="B8" s="77" cm="1">
        <f t="array" aca="1" ref="B8" ca="1">_FV(A8,"Price")</f>
        <v>171.6</v>
      </c>
      <c r="C8" s="78" cm="1">
        <f t="array" aca="1" ref="C8" ca="1">_FV(A8,"Market cap",TRUE)</f>
        <v>56727060000</v>
      </c>
      <c r="D8" s="68" cm="1">
        <f t="array" aca="1" ref="D8" ca="1">_FV(A8,"Change (%)",TRUE)</f>
        <v>-1.4643E-2</v>
      </c>
      <c r="E8" t="str" cm="1">
        <f t="array" aca="1" ref="E8" ca="1">_FV(A8,"Industry")</f>
        <v>Banking Services</v>
      </c>
      <c r="F8" t="s">
        <v>9</v>
      </c>
      <c r="G8" s="32" cm="1">
        <f t="array" aca="1" ref="G8" ca="1">_FV(A8,"P/E",TRUE)</f>
        <v>11.51</v>
      </c>
      <c r="H8" s="34" t="str" cm="1">
        <f t="array" aca="1" ref="H8" ca="1">_FV(A8,"Ticker symbol",TRUE)</f>
        <v>NDA SE</v>
      </c>
      <c r="I8" s="94" cm="1">
        <f t="array" aca="1" ref="I8" ca="1">_FV(A8,"Shares outstanding",TRUE)</f>
        <v>3427653000</v>
      </c>
      <c r="J8" s="32" cm="1">
        <f t="array" aca="1" ref="J8" ca="1">_FV(A8,"Beta")</f>
        <v>1.0309999999999999</v>
      </c>
    </row>
    <row r="9" spans="1:11" x14ac:dyDescent="0.3">
      <c r="A9" t="e" vm="8">
        <v>#VALUE!</v>
      </c>
      <c r="B9" s="77" cm="1">
        <f t="array" aca="1" ref="B9" ca="1">_FV(A9,"Price")</f>
        <v>933</v>
      </c>
      <c r="C9" s="78" cm="1">
        <f t="array" aca="1" ref="C9" ca="1">_FV(A9,"Market cap",TRUE)</f>
        <v>54341410000</v>
      </c>
      <c r="D9" s="68" cm="1">
        <f t="array" aca="1" ref="D9" ca="1">_FV(A9,"Change (%)",TRUE)</f>
        <v>-2.7111999999999997E-2</v>
      </c>
      <c r="E9" t="str" cm="1">
        <f t="array" aca="1" ref="E9" ca="1">_FV(A9,"Industry")</f>
        <v>Banking Services</v>
      </c>
      <c r="F9" t="s">
        <v>9</v>
      </c>
      <c r="G9" s="32" cm="1">
        <f t="array" aca="1" ref="G9" ca="1">_FV(A9,"P/E",TRUE)</f>
        <v>11.33</v>
      </c>
      <c r="H9" s="34" t="str" cm="1">
        <f t="array" aca="1" ref="H9" ca="1">_FV(A9,"Ticker symbol",TRUE)</f>
        <v>JYSK</v>
      </c>
      <c r="I9" s="94" cm="1">
        <f t="array" aca="1" ref="I9" ca="1">_FV(A9,"Shares outstanding",TRUE)</f>
        <v>61506980</v>
      </c>
      <c r="J9" s="32" cm="1">
        <f t="array" aca="1" ref="J9" ca="1">_FV(A9,"Beta")</f>
        <v>0.3498</v>
      </c>
    </row>
    <row r="10" spans="1:11" x14ac:dyDescent="0.3">
      <c r="A10" t="e" vm="9">
        <v>#VALUE!</v>
      </c>
      <c r="B10" s="77" cm="1">
        <f t="array" aca="1" ref="B10" ca="1">_FV(A10,"Price")</f>
        <v>520.5</v>
      </c>
      <c r="C10" s="78" cm="1">
        <f t="array" aca="1" ref="C10" ca="1">_FV(A10,"Market cap",TRUE)</f>
        <v>49170850000</v>
      </c>
      <c r="D10" s="68" cm="1">
        <f t="array" aca="1" ref="D10" ca="1">_FV(A10,"Change (%)",TRUE)</f>
        <v>-3.5217999999999999E-2</v>
      </c>
      <c r="E10" t="str" cm="1">
        <f t="array" aca="1" ref="E10" ca="1">_FV(A10,"Industry")</f>
        <v>Banking Services</v>
      </c>
      <c r="F10" t="s">
        <v>9</v>
      </c>
      <c r="G10" s="32" cm="1">
        <f t="array" aca="1" ref="G10" ca="1">_FV(A10,"P/E",TRUE)</f>
        <v>12.3</v>
      </c>
      <c r="H10" s="34" t="str" cm="1">
        <f t="array" aca="1" ref="H10" ca="1">_FV(A10,"Ticker symbol",TRUE)</f>
        <v>ALSYDB</v>
      </c>
      <c r="I10" s="94" cm="1">
        <f t="array" aca="1" ref="I10" ca="1">_FV(A10,"Shares outstanding",TRUE)</f>
        <v>85788420</v>
      </c>
      <c r="J10" s="32" cm="1">
        <f t="array" aca="1" ref="J10" ca="1">_FV(A10,"Beta")</f>
        <v>0.41160000000000002</v>
      </c>
    </row>
    <row r="11" spans="1:11" x14ac:dyDescent="0.3">
      <c r="A11" t="e" vm="10">
        <v>#VALUE!</v>
      </c>
      <c r="B11" s="77" cm="1">
        <f t="array" aca="1" ref="B11" ca="1">_FV(A11,"Price")</f>
        <v>310.60000000000002</v>
      </c>
      <c r="C11" s="78" cm="1">
        <f t="array" aca="1" ref="C11" ca="1">_FV(A11,"Market cap",TRUE)</f>
        <v>1299436000000</v>
      </c>
      <c r="D11" s="68" cm="1">
        <f t="array" aca="1" ref="D11" ca="1">_FV(A11,"Change (%)",TRUE)</f>
        <v>1.3212E-2</v>
      </c>
      <c r="E11" t="str" cm="1">
        <f t="array" aca="1" ref="E11" ca="1">_FV(A11,"Industry")</f>
        <v>Pharmaceuticals</v>
      </c>
      <c r="F11" t="s">
        <v>16</v>
      </c>
      <c r="G11" s="32" cm="1">
        <f t="array" aca="1" ref="G11" ca="1">_FV(A11,"P/E",TRUE)</f>
        <v>13.3</v>
      </c>
      <c r="H11" s="34" t="str" cm="1">
        <f t="array" aca="1" ref="H11" ca="1">_FV(A11,"Ticker symbol",TRUE)</f>
        <v>NOVO B</v>
      </c>
      <c r="I11" s="94" cm="1">
        <f t="array" aca="1" ref="I11" ca="1">_FV(A11,"Shares outstanding",TRUE)</f>
        <v>3390128000</v>
      </c>
      <c r="J11" s="32" cm="1">
        <f t="array" aca="1" ref="J11" ca="1">_FV(A11,"Beta")</f>
        <v>1.4835</v>
      </c>
    </row>
    <row r="12" spans="1:11" x14ac:dyDescent="0.3">
      <c r="A12" t="e" vm="11">
        <v>#VALUE!</v>
      </c>
      <c r="B12" s="77" cm="1">
        <f t="array" aca="1" ref="B12" ca="1">_FV(A12,"Price")</f>
        <v>400</v>
      </c>
      <c r="C12" s="78" cm="1">
        <f t="array" aca="1" ref="C12" ca="1">_FV(A12,"Market cap",TRUE)</f>
        <v>173625400000</v>
      </c>
      <c r="D12" s="68" cm="1">
        <f t="array" aca="1" ref="D12" ca="1">_FV(A12,"Change (%)",TRUE)</f>
        <v>3.8961000000000003E-2</v>
      </c>
      <c r="E12" t="str" cm="1">
        <f t="array" aca="1" ref="E12" ca="1">_FV(A12,"Industry")</f>
        <v>Chemicals</v>
      </c>
      <c r="F12" t="s">
        <v>16</v>
      </c>
      <c r="G12" s="32" cm="1">
        <f t="array" aca="1" ref="G12" ca="1">_FV(A12,"P/E",TRUE)</f>
        <v>41.15</v>
      </c>
      <c r="H12" s="34" t="str" cm="1">
        <f t="array" aca="1" ref="H12" ca="1">_FV(A12,"Ticker symbol",TRUE)</f>
        <v>NSIS B</v>
      </c>
      <c r="I12" s="94" cm="1">
        <f t="array" aca="1" ref="I12" ca="1">_FV(A12,"Shares outstanding",TRUE)</f>
        <v>414555100</v>
      </c>
      <c r="J12" s="32" cm="1">
        <f t="array" aca="1" ref="J12" ca="1">_FV(A12,"Beta")</f>
        <v>0.64890000000000003</v>
      </c>
    </row>
    <row r="13" spans="1:11" x14ac:dyDescent="0.3">
      <c r="A13" t="e" vm="12">
        <v>#VALUE!</v>
      </c>
      <c r="B13" s="77" cm="1">
        <f t="array" aca="1" ref="B13" ca="1">_FV(A13,"Price")</f>
        <v>488.6</v>
      </c>
      <c r="C13" s="78" cm="1">
        <f t="array" aca="1" ref="C13" ca="1">_FV(A13,"Market cap",TRUE)</f>
        <v>121159300000</v>
      </c>
      <c r="D13" s="68" cm="1">
        <f t="array" aca="1" ref="D13" ca="1">_FV(A13,"Change (%)",TRUE)</f>
        <v>-7.1120000000000003E-3</v>
      </c>
      <c r="E13" t="str" cm="1">
        <f t="array" aca="1" ref="E13" ca="1">_FV(A13,"Industry")</f>
        <v>Healthcare Equipment &amp; Supplies</v>
      </c>
      <c r="F13" t="s">
        <v>16</v>
      </c>
      <c r="G13" s="32" cm="1">
        <f t="array" aca="1" ref="G13" ca="1">_FV(A13,"P/E",TRUE)</f>
        <v>27.8</v>
      </c>
      <c r="H13" s="34" t="str" cm="1">
        <f t="array" aca="1" ref="H13" ca="1">_FV(A13,"Ticker symbol",TRUE)</f>
        <v>COLO B</v>
      </c>
      <c r="I13" s="94" cm="1">
        <f t="array" aca="1" ref="I13" ca="1">_FV(A13,"Shares outstanding",TRUE)</f>
        <v>210200000</v>
      </c>
      <c r="J13" s="32" cm="1">
        <f t="array" aca="1" ref="J13" ca="1">_FV(A13,"Beta")</f>
        <v>0.56779999999999997</v>
      </c>
    </row>
    <row r="14" spans="1:11" x14ac:dyDescent="0.3">
      <c r="A14" t="e" vm="13">
        <v>#VALUE!</v>
      </c>
      <c r="B14" s="77" cm="1">
        <f t="array" aca="1" ref="B14" ca="1">_FV(A14,"Price")</f>
        <v>1904.5</v>
      </c>
      <c r="C14" s="78" cm="1">
        <f t="array" aca="1" ref="C14" ca="1">_FV(A14,"Market cap",TRUE)</f>
        <v>138137600000</v>
      </c>
      <c r="D14" s="68" cm="1">
        <f t="array" aca="1" ref="D14" ca="1">_FV(A14,"Change (%)",TRUE)</f>
        <v>1.2493000000000001E-2</v>
      </c>
      <c r="E14" t="str" cm="1">
        <f t="array" aca="1" ref="E14" ca="1">_FV(A14,"Industry")</f>
        <v>Biotechnology &amp; Medical Research</v>
      </c>
      <c r="F14" t="s">
        <v>16</v>
      </c>
      <c r="G14" s="32" cm="1">
        <f t="array" aca="1" ref="G14" ca="1">_FV(A14,"P/E",TRUE)</f>
        <v>14.22</v>
      </c>
      <c r="H14" s="34" t="str" cm="1">
        <f t="array" aca="1" ref="H14" ca="1">_FV(A14,"Ticker symbol",TRUE)</f>
        <v>GMAB</v>
      </c>
      <c r="I14" s="94" cm="1">
        <f t="array" aca="1" ref="I14" ca="1">_FV(A14,"Shares outstanding",TRUE)</f>
        <v>64238410</v>
      </c>
      <c r="J14" s="32" cm="1">
        <f t="array" aca="1" ref="J14" ca="1">_FV(A14,"Beta")</f>
        <v>0.74939999999999996</v>
      </c>
    </row>
    <row r="15" spans="1:11" x14ac:dyDescent="0.3">
      <c r="A15" t="e" vm="14">
        <v>#VALUE!</v>
      </c>
      <c r="B15" s="77" cm="1">
        <f t="array" aca="1" ref="B15" ca="1">_FV(A15,"Price")</f>
        <v>176.2</v>
      </c>
      <c r="C15" s="78" cm="1">
        <f t="array" aca="1" ref="C15" ca="1">_FV(A15,"Market cap",TRUE)</f>
        <v>49814160000</v>
      </c>
      <c r="D15" s="68" cm="1">
        <f t="array" aca="1" ref="D15" ca="1">_FV(A15,"Change (%)",TRUE)</f>
        <v>-2.8299999999999996E-3</v>
      </c>
      <c r="E15" t="str" cm="1">
        <f t="array" aca="1" ref="E15" ca="1">_FV(A15,"Industry")</f>
        <v>Healthcare Equipment &amp; Supplies</v>
      </c>
      <c r="F15" t="s">
        <v>16</v>
      </c>
      <c r="G15" s="32" cm="1">
        <f t="array" aca="1" ref="G15" ca="1">_FV(A15,"P/E",TRUE)</f>
        <v>15.77</v>
      </c>
      <c r="H15" s="34" t="str" cm="1">
        <f t="array" aca="1" ref="H15" ca="1">_FV(A15,"Ticker symbol",TRUE)</f>
        <v>DEMANT</v>
      </c>
      <c r="I15" s="94" cm="1">
        <f t="array" aca="1" ref="I15" ca="1">_FV(A15,"Shares outstanding",TRUE)</f>
        <v>213794700</v>
      </c>
      <c r="J15" s="32" cm="1">
        <f t="array" aca="1" ref="J15" ca="1">_FV(A15,"Beta")</f>
        <v>0.97450000000000003</v>
      </c>
    </row>
    <row r="16" spans="1:11" x14ac:dyDescent="0.3">
      <c r="A16" t="e" vm="15">
        <v>#VALUE!</v>
      </c>
      <c r="B16" s="77" cm="1">
        <f t="array" aca="1" ref="B16" ca="1">_FV(A16,"Price")</f>
        <v>399.7</v>
      </c>
      <c r="C16" s="78" cm="1">
        <f t="array" aca="1" ref="C16" ca="1">_FV(A16,"Market cap",TRUE)</f>
        <v>29321170000</v>
      </c>
      <c r="D16" s="68" cm="1">
        <f t="array" aca="1" ref="D16" ca="1">_FV(A16,"Change (%)",TRUE)</f>
        <v>-2.2021000000000002E-2</v>
      </c>
      <c r="E16" t="str" cm="1">
        <f t="array" aca="1" ref="E16" ca="1">_FV(A16,"Industry")</f>
        <v>Biotechnology &amp; Medical Research</v>
      </c>
      <c r="F16" t="s">
        <v>16</v>
      </c>
      <c r="G16" s="32">
        <v>0</v>
      </c>
      <c r="H16" s="34" t="str" cm="1">
        <f t="array" aca="1" ref="H16" ca="1">_FV(A16,"Ticker symbol",TRUE)</f>
        <v>ZEAL</v>
      </c>
      <c r="I16" s="94" cm="1">
        <f t="array" aca="1" ref="I16" ca="1">_FV(A16,"Shares outstanding",TRUE)</f>
        <v>71515050</v>
      </c>
      <c r="J16" s="32" cm="1">
        <f t="array" aca="1" ref="J16" ca="1">_FV(A16,"Beta")</f>
        <v>0.9849</v>
      </c>
    </row>
    <row r="17" spans="1:10" x14ac:dyDescent="0.3">
      <c r="A17" t="e" vm="16">
        <v>#VALUE!</v>
      </c>
      <c r="B17" s="77" cm="1">
        <f t="array" aca="1" ref="B17" ca="1">_FV(A17,"Price")</f>
        <v>82.4</v>
      </c>
      <c r="C17" s="78" cm="1">
        <f t="array" aca="1" ref="C17" ca="1">_FV(A17,"Market cap",TRUE)</f>
        <v>21382670000</v>
      </c>
      <c r="D17" s="68" cm="1">
        <f t="array" aca="1" ref="D17" ca="1">_FV(A17,"Change (%)",TRUE)</f>
        <v>-7.2290000000000002E-3</v>
      </c>
      <c r="E17" t="str" cm="1">
        <f t="array" aca="1" ref="E17" ca="1">_FV(A17,"Industry")</f>
        <v>Healthcare Equipment &amp; Supplies</v>
      </c>
      <c r="F17" t="s">
        <v>16</v>
      </c>
      <c r="G17" s="32" cm="1">
        <f t="array" aca="1" ref="G17" ca="1">_FV(A17,"P/E",TRUE)</f>
        <v>40.6</v>
      </c>
      <c r="H17" s="34" t="str" cm="1">
        <f t="array" aca="1" ref="H17" ca="1">_FV(A17,"Ticker symbol",TRUE)</f>
        <v>AMBU B</v>
      </c>
      <c r="I17" s="94" cm="1">
        <f t="array" aca="1" ref="I17" ca="1">_FV(A17,"Shares outstanding",TRUE)</f>
        <v>234974400</v>
      </c>
      <c r="J17" s="32" cm="1">
        <f t="array" aca="1" ref="J17" ca="1">_FV(A17,"Beta")</f>
        <v>0.8286</v>
      </c>
    </row>
    <row r="18" spans="1:10" x14ac:dyDescent="0.3">
      <c r="A18" t="e" vm="17">
        <v>#VALUE!</v>
      </c>
      <c r="B18" s="77" cm="1">
        <f t="array" aca="1" ref="B18" ca="1">_FV(A18,"Price")</f>
        <v>98</v>
      </c>
      <c r="C18" s="78" cm="1">
        <f t="array" aca="1" ref="C18" ca="1">_FV(A18,"Market cap",TRUE)</f>
        <v>17837880000</v>
      </c>
      <c r="D18" s="68" cm="1">
        <f t="array" aca="1" ref="D18" ca="1">_FV(A18,"Change (%)",TRUE)</f>
        <v>1.3653E-2</v>
      </c>
      <c r="E18" t="str" cm="1">
        <f t="array" aca="1" ref="E18" ca="1">_FV(A18,"Industry")</f>
        <v>Computers, Phones &amp; Household Electronics</v>
      </c>
      <c r="F18" t="s">
        <v>16</v>
      </c>
      <c r="G18" s="32" cm="1">
        <f t="array" aca="1" ref="G18" ca="1">_FV(A18,"P/E",TRUE)</f>
        <v>21.57</v>
      </c>
      <c r="H18" s="34" t="str" cm="1">
        <f t="array" aca="1" ref="H18" ca="1">_FV(A18,"Ticker symbol",TRUE)</f>
        <v>GN</v>
      </c>
      <c r="I18" s="94" cm="1">
        <f t="array" aca="1" ref="I18" ca="1">_FV(A18,"Shares outstanding",TRUE)</f>
        <v>150912700</v>
      </c>
      <c r="J18" s="32" cm="1">
        <f t="array" aca="1" ref="J18" ca="1">_FV(A18,"Beta")</f>
        <v>0.89859999999999995</v>
      </c>
    </row>
    <row r="19" spans="1:10" x14ac:dyDescent="0.3">
      <c r="A19" t="e" vm="18">
        <v>#VALUE!</v>
      </c>
      <c r="B19" s="77" cm="1">
        <f t="array" aca="1" ref="B19" ca="1">_FV(A19,"Price")</f>
        <v>192</v>
      </c>
      <c r="C19" s="78" cm="1">
        <f t="array" aca="1" ref="C19" ca="1">_FV(A19,"Market cap",TRUE)</f>
        <v>15823570000</v>
      </c>
      <c r="D19" s="68" cm="1">
        <f t="array" aca="1" ref="D19" ca="1">_FV(A19,"Change (%)",TRUE)</f>
        <v>-6.2109999999999995E-3</v>
      </c>
      <c r="E19" t="str" cm="1">
        <f t="array" aca="1" ref="E19" ca="1">_FV(A19,"Industry")</f>
        <v>Pharmaceuticals</v>
      </c>
      <c r="F19" t="s">
        <v>16</v>
      </c>
      <c r="G19" s="32" cm="1">
        <f t="array" aca="1" ref="G19" ca="1">_FV(A19,"P/E",TRUE)</f>
        <v>6.32</v>
      </c>
      <c r="H19" s="34" t="str" cm="1">
        <f t="array" aca="1" ref="H19" ca="1">_FV(A19,"Ticker symbol",TRUE)</f>
        <v>BAVA</v>
      </c>
      <c r="I19" s="94" cm="1">
        <f t="array" aca="1" ref="I19" ca="1">_FV(A19,"Shares outstanding",TRUE)</f>
        <v>79236730</v>
      </c>
      <c r="J19" s="32" cm="1">
        <f t="array" aca="1" ref="J19" ca="1">_FV(A19,"Beta")</f>
        <v>0.58169999999999999</v>
      </c>
    </row>
    <row r="20" spans="1:10" x14ac:dyDescent="0.3">
      <c r="A20" t="e" vm="19">
        <v>#VALUE!</v>
      </c>
      <c r="B20" s="77" cm="1">
        <f t="array" aca="1" ref="B20" ca="1">_FV(A20,"Price")</f>
        <v>1690</v>
      </c>
      <c r="C20" s="78" cm="1">
        <f t="array" aca="1" ref="C20" ca="1">_FV(A20,"Market cap",TRUE)</f>
        <v>415247700000</v>
      </c>
      <c r="D20" s="68" cm="1">
        <f t="array" aca="1" ref="D20" ca="1">_FV(A20,"Change (%)",TRUE)</f>
        <v>-7.3419999999999996E-3</v>
      </c>
      <c r="E20" t="str" cm="1">
        <f t="array" aca="1" ref="E20" ca="1">_FV(A20,"Industry")</f>
        <v>Freight &amp; Logistics Services</v>
      </c>
      <c r="F20" t="s">
        <v>13</v>
      </c>
      <c r="G20" s="32" cm="1">
        <f t="array" aca="1" ref="G20" ca="1">_FV(A20,"P/E",TRUE)</f>
        <v>47.8</v>
      </c>
      <c r="H20" s="34" t="str" cm="1">
        <f t="array" aca="1" ref="H20" ca="1">_FV(A20,"Ticker symbol",TRUE)</f>
        <v>DSV</v>
      </c>
      <c r="I20" s="94" cm="1">
        <f t="array" aca="1" ref="I20" ca="1">_FV(A20,"Shares outstanding",TRUE)</f>
        <v>240444500</v>
      </c>
      <c r="J20" s="32" cm="1">
        <f t="array" aca="1" ref="J20" ca="1">_FV(A20,"Beta")</f>
        <v>0.83879999999999999</v>
      </c>
    </row>
    <row r="21" spans="1:10" x14ac:dyDescent="0.3">
      <c r="A21" t="e" vm="20">
        <v>#VALUE!</v>
      </c>
      <c r="B21" s="77" cm="1">
        <f t="array" aca="1" ref="B21" ca="1">_FV(A21,"Price")</f>
        <v>15330</v>
      </c>
      <c r="C21" s="78" cm="1">
        <f t="array" aca="1" ref="C21" ca="1">_FV(A21,"Market cap",TRUE)</f>
        <v>248490500000</v>
      </c>
      <c r="D21" s="68" cm="1">
        <f t="array" aca="1" ref="D21" ca="1">_FV(A21,"Change (%)",TRUE)</f>
        <v>4.2502999999999999E-2</v>
      </c>
      <c r="E21" t="str" cm="1">
        <f t="array" aca="1" ref="E21" ca="1">_FV(A21,"Industry")</f>
        <v>Freight &amp; Logistics Services</v>
      </c>
      <c r="F21" t="s">
        <v>13</v>
      </c>
      <c r="G21" s="32" cm="1">
        <f t="array" aca="1" ref="G21" ca="1">_FV(A21,"P/E",TRUE)</f>
        <v>2.81</v>
      </c>
      <c r="H21" s="34" t="str" cm="1">
        <f t="array" aca="1" ref="H21" ca="1">_FV(A21,"Ticker symbol",TRUE)</f>
        <v>MAERSK B</v>
      </c>
      <c r="I21" s="94" cm="1">
        <f t="array" aca="1" ref="I21" ca="1">_FV(A21,"Shares outstanding",TRUE)</f>
        <v>15828940</v>
      </c>
      <c r="J21" s="32" cm="1">
        <f t="array" aca="1" ref="J21" ca="1">_FV(A21,"Beta")</f>
        <v>0.68279999999999996</v>
      </c>
    </row>
    <row r="22" spans="1:10" x14ac:dyDescent="0.3">
      <c r="A22" t="e" vm="21">
        <v>#VALUE!</v>
      </c>
      <c r="B22" s="77" cm="1">
        <f t="array" aca="1" ref="B22" ca="1">_FV(A22,"Price")</f>
        <v>153.6</v>
      </c>
      <c r="C22" s="78" cm="1">
        <f t="array" aca="1" ref="C22" ca="1">_FV(A22,"Market cap",TRUE)</f>
        <v>183812800000</v>
      </c>
      <c r="D22" s="68" cm="1">
        <f t="array" aca="1" ref="D22" ca="1">_FV(A22,"Change (%)",TRUE)</f>
        <v>-1.5384999999999999E-2</v>
      </c>
      <c r="E22" t="str" cm="1">
        <f t="array" aca="1" ref="E22" ca="1">_FV(A22,"Industry")</f>
        <v>Renewable Energy</v>
      </c>
      <c r="F22" t="s">
        <v>13</v>
      </c>
      <c r="G22" s="32" cm="1">
        <f t="array" aca="1" ref="G22" ca="1">_FV(A22,"P/E",TRUE)</f>
        <v>27.21</v>
      </c>
      <c r="H22" s="34" t="str" cm="1">
        <f t="array" aca="1" ref="H22" ca="1">_FV(A22,"Ticker symbol",TRUE)</f>
        <v>VWS</v>
      </c>
      <c r="I22" s="94" cm="1">
        <f t="array" aca="1" ref="I22" ca="1">_FV(A22,"Shares outstanding",TRUE)</f>
        <v>1009867000</v>
      </c>
      <c r="J22" s="32" cm="1">
        <f t="array" aca="1" ref="J22" ca="1">_FV(A22,"Beta")</f>
        <v>0.94569999999999999</v>
      </c>
    </row>
    <row r="23" spans="1:10" x14ac:dyDescent="0.3">
      <c r="A23" t="e" vm="22">
        <v>#VALUE!</v>
      </c>
      <c r="B23" s="77" cm="1">
        <f t="array" aca="1" ref="B23" ca="1">_FV(A23,"Price")</f>
        <v>252.4</v>
      </c>
      <c r="C23" s="78" cm="1">
        <f t="array" aca="1" ref="C23" ca="1">_FV(A23,"Market cap",TRUE)</f>
        <v>40553760000</v>
      </c>
      <c r="D23" s="68" cm="1">
        <f t="array" aca="1" ref="D23" ca="1">_FV(A23,"Change (%)",TRUE)</f>
        <v>-2.2463E-2</v>
      </c>
      <c r="E23" t="str" cm="1">
        <f t="array" aca="1" ref="E23" ca="1">_FV(A23,"Industry")</f>
        <v>Professional &amp; Commercial Services</v>
      </c>
      <c r="F23" t="s">
        <v>13</v>
      </c>
      <c r="G23" s="32" cm="1">
        <f t="array" aca="1" ref="G23" ca="1">_FV(A23,"P/E",TRUE)</f>
        <v>16.77</v>
      </c>
      <c r="H23" s="34" t="str" cm="1">
        <f t="array" aca="1" ref="H23" ca="1">_FV(A23,"Ticker symbol",TRUE)</f>
        <v>ISS</v>
      </c>
      <c r="I23" s="94" cm="1">
        <f t="array" aca="1" ref="I23" ca="1">_FV(A23,"Shares outstanding",TRUE)</f>
        <v>174200000</v>
      </c>
      <c r="J23" s="32" cm="1">
        <f t="array" aca="1" ref="J23" ca="1">_FV(A23,"Beta")</f>
        <v>0.40910000000000002</v>
      </c>
    </row>
    <row r="24" spans="1:10" x14ac:dyDescent="0.3">
      <c r="A24" t="e" vm="23">
        <v>#VALUE!</v>
      </c>
      <c r="B24" s="77" cm="1">
        <f t="array" aca="1" ref="B24" ca="1">_FV(A24,"Price")</f>
        <v>815.5</v>
      </c>
      <c r="C24" s="78" cm="1">
        <f t="array" aca="1" ref="C24" ca="1">_FV(A24,"Market cap",TRUE)</f>
        <v>42377380000</v>
      </c>
      <c r="D24" s="68" cm="1">
        <f t="array" aca="1" ref="D24" ca="1">_FV(A24,"Change (%)",TRUE)</f>
        <v>-3.0320999999999997E-2</v>
      </c>
      <c r="E24" t="str" cm="1">
        <f t="array" aca="1" ref="E24" ca="1">_FV(A24,"Industry")</f>
        <v>Machinery, Equipment &amp; Components</v>
      </c>
      <c r="F24" t="s">
        <v>13</v>
      </c>
      <c r="G24" s="32" cm="1">
        <f t="array" aca="1" ref="G24" ca="1">_FV(A24,"P/E",TRUE)</f>
        <v>27.64</v>
      </c>
      <c r="H24" s="34" t="str" cm="1">
        <f t="array" aca="1" ref="H24" ca="1">_FV(A24,"Ticker symbol",TRUE)</f>
        <v>NKT</v>
      </c>
      <c r="I24" s="94" cm="1">
        <f t="array" aca="1" ref="I24" ca="1">_FV(A24,"Shares outstanding",TRUE)</f>
        <v>53720040</v>
      </c>
      <c r="J24" s="32" cm="1">
        <f t="array" aca="1" ref="J24" ca="1">_FV(A24,"Beta")</f>
        <v>0.55900000000000005</v>
      </c>
    </row>
    <row r="25" spans="1:10" x14ac:dyDescent="0.3">
      <c r="A25" t="e" vm="24">
        <v>#VALUE!</v>
      </c>
      <c r="B25" s="77" cm="1">
        <f t="array" aca="1" ref="B25" ca="1">_FV(A25,"Price")</f>
        <v>228.15</v>
      </c>
      <c r="C25" s="78" cm="1">
        <f t="array" aca="1" ref="C25" ca="1">_FV(A25,"Market cap",TRUE)</f>
        <v>43322440000</v>
      </c>
      <c r="D25" s="68" cm="1">
        <f t="array" aca="1" ref="D25" ca="1">_FV(A25,"Change (%)",TRUE)</f>
        <v>-9.7660000000000004E-3</v>
      </c>
      <c r="E25" t="str" cm="1">
        <f t="array" aca="1" ref="E25" ca="1">_FV(A25,"Industry")</f>
        <v>Construction Materials</v>
      </c>
      <c r="F25" t="s">
        <v>14</v>
      </c>
      <c r="G25" s="32" cm="1">
        <f t="array" aca="1" ref="G25" ca="1">_FV(A25,"P/E",TRUE)</f>
        <v>12.97</v>
      </c>
      <c r="H25" s="34" t="str" cm="1">
        <f t="array" aca="1" ref="H25" ca="1">_FV(A25,"Ticker symbol",TRUE)</f>
        <v>ROCK B</v>
      </c>
      <c r="I25" s="94" cm="1">
        <f t="array" aca="1" ref="I25" ca="1">_FV(A25,"Shares outstanding",TRUE)</f>
        <v>211605800</v>
      </c>
      <c r="J25" s="32" cm="1">
        <f t="array" aca="1" ref="J25" ca="1">_FV(A25,"Beta")</f>
        <v>0.81330000000000002</v>
      </c>
    </row>
  </sheetData>
  <autoFilter ref="A1:G25" xr:uid="{00000000-0009-0000-0000-000019000000}">
    <sortState xmlns:xlrd2="http://schemas.microsoft.com/office/spreadsheetml/2017/richdata2" ref="A2:G25">
      <sortCondition ref="F1:F25"/>
    </sortState>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2060"/>
  </sheetPr>
  <dimension ref="A1:J46"/>
  <sheetViews>
    <sheetView topLeftCell="A19" workbookViewId="0">
      <selection activeCell="D2" sqref="D2:D46"/>
    </sheetView>
  </sheetViews>
  <sheetFormatPr defaultRowHeight="14.4" x14ac:dyDescent="0.3"/>
  <cols>
    <col min="1" max="1" width="43.6640625" bestFit="1" customWidth="1"/>
    <col min="2" max="2" width="9.44140625" bestFit="1" customWidth="1"/>
    <col min="3" max="3" width="16.109375" bestFit="1" customWidth="1"/>
    <col min="4" max="4" width="9" bestFit="1" customWidth="1"/>
    <col min="5" max="5" width="38.6640625" bestFit="1" customWidth="1"/>
    <col min="6" max="6" width="38.6640625" customWidth="1"/>
    <col min="7" max="7" width="20.33203125" bestFit="1" customWidth="1"/>
    <col min="8" max="8" width="6.44140625" bestFit="1" customWidth="1"/>
    <col min="9" max="9" width="30.44140625" bestFit="1" customWidth="1"/>
    <col min="10" max="10" width="5.33203125" bestFit="1" customWidth="1"/>
  </cols>
  <sheetData>
    <row r="1" spans="1:10" x14ac:dyDescent="0.3">
      <c r="A1" t="s">
        <v>230</v>
      </c>
      <c r="B1" t="s">
        <v>223</v>
      </c>
      <c r="C1" t="s">
        <v>224</v>
      </c>
      <c r="D1" t="s">
        <v>226</v>
      </c>
      <c r="E1" t="s">
        <v>227</v>
      </c>
      <c r="F1" t="s">
        <v>7</v>
      </c>
      <c r="G1" t="s">
        <v>231</v>
      </c>
      <c r="H1" t="s">
        <v>228</v>
      </c>
      <c r="I1" t="str">
        <f>'Aktieliste USA'!I1</f>
        <v>Shares outstanding</v>
      </c>
      <c r="J1" t="s">
        <v>225</v>
      </c>
    </row>
    <row r="2" spans="1:10" x14ac:dyDescent="0.3">
      <c r="A2" t="e" vm="25">
        <v>#VALUE!</v>
      </c>
      <c r="B2" s="77" cm="1">
        <f t="array" aca="1" ref="B2" ca="1">_FV(A2,"Price")</f>
        <v>32.340000000000003</v>
      </c>
      <c r="C2" s="78" cm="1">
        <f t="array" aca="1" ref="C2" ca="1">_FV(A2,"Market cap",TRUE)</f>
        <v>137247200000</v>
      </c>
      <c r="D2" s="68" cm="1">
        <f t="array" aca="1" ref="D2" ca="1">_FV(A2,"Change (%)",TRUE)</f>
        <v>6.8489999999999992E-3</v>
      </c>
      <c r="E2" t="str" cm="1">
        <f t="array" aca="1" ref="E2" ca="1">_FV(A2,"Industry")</f>
        <v>Telecommunications Services</v>
      </c>
      <c r="F2" t="s">
        <v>143</v>
      </c>
      <c r="G2" t="str" cm="1">
        <f t="array" aca="1" ref="G2" ca="1">_FV(A2,"Ticker symbol",TRUE)</f>
        <v>DTE</v>
      </c>
      <c r="H2" s="32" cm="1">
        <f t="array" aca="1" ref="H2" ca="1">IFERROR(_FV(A2,"P/E",TRUE),0)</f>
        <v>12.35</v>
      </c>
      <c r="I2" s="34" cm="1">
        <f t="array" aca="1" ref="I2" ca="1">_FV(A2,"Shares outstanding",TRUE)</f>
        <v>4905190000</v>
      </c>
      <c r="J2" s="32" cm="1">
        <f t="array" aca="1" ref="J2" ca="1">_FV(A2,"Beta")</f>
        <v>0.62729999999999997</v>
      </c>
    </row>
    <row r="3" spans="1:10" x14ac:dyDescent="0.3">
      <c r="A3" t="e" vm="26">
        <v>#VALUE!</v>
      </c>
      <c r="B3" s="77" cm="1">
        <f t="array" aca="1" ref="B3" ca="1">_FV(A3,"Price")</f>
        <v>5.8680000000000003</v>
      </c>
      <c r="C3" s="78" cm="1">
        <f t="array" aca="1" ref="C3" ca="1">_FV(A3,"Market cap",TRUE)</f>
        <v>32110600000</v>
      </c>
      <c r="D3" s="68" cm="1">
        <f t="array" aca="1" ref="D3" ca="1">_FV(A3,"Change (%)",TRUE)</f>
        <v>6.1729999999999997E-3</v>
      </c>
      <c r="E3" t="str" cm="1">
        <f t="array" aca="1" ref="E3" ca="1">_FV(A3,"Industry")</f>
        <v>Communications &amp; Networking</v>
      </c>
      <c r="F3" t="s">
        <v>143</v>
      </c>
      <c r="G3" t="str" cm="1">
        <f t="array" aca="1" ref="G3" ca="1">_FV(A3,"Ticker symbol",TRUE)</f>
        <v>NOKIA</v>
      </c>
      <c r="H3" s="32" cm="1">
        <f t="array" aca="1" ref="H3" ca="1">IFERROR(_FV(A3,"P/E",TRUE),0)</f>
        <v>48.6</v>
      </c>
      <c r="I3" s="34" cm="1">
        <f t="array" aca="1" ref="I3" ca="1">_FV(A3,"Shares outstanding",TRUE)</f>
        <v>5742240000</v>
      </c>
      <c r="J3" s="32" cm="1">
        <f t="array" aca="1" ref="J3" ca="1">_FV(A3,"Beta")</f>
        <v>1.3419000000000001</v>
      </c>
    </row>
    <row r="4" spans="1:10" x14ac:dyDescent="0.3">
      <c r="A4" t="e" vm="27">
        <v>#VALUE!</v>
      </c>
      <c r="B4" s="77" cm="1">
        <f t="array" aca="1" ref="B4" ca="1">_FV(A4,"Price")</f>
        <v>48.6</v>
      </c>
      <c r="C4" s="78" cm="1">
        <f t="array" aca="1" ref="C4" ca="1">_FV(A4,"Market cap",TRUE)</f>
        <v>131510100000</v>
      </c>
      <c r="D4" s="68" cm="1">
        <f t="array" aca="1" ref="D4" ca="1">_FV(A4,"Change (%)",TRUE)</f>
        <v>-4.1230999999999997E-2</v>
      </c>
      <c r="E4" t="str" cm="1">
        <f t="array" aca="1" ref="E4" ca="1">_FV(A4,"Industry")</f>
        <v>Software &amp; IT Services</v>
      </c>
      <c r="F4" t="s">
        <v>143</v>
      </c>
      <c r="G4" t="str" cm="1">
        <f t="array" aca="1" ref="G4" ca="1">_FV(A4,"Ticker symbol",TRUE)</f>
        <v>PRX</v>
      </c>
      <c r="H4" s="32" cm="1">
        <f t="array" aca="1" ref="H4" ca="1">IFERROR(_FV(A4,"P/E",TRUE),0)</f>
        <v>8.58</v>
      </c>
      <c r="I4" s="34" cm="1">
        <f t="array" aca="1" ref="I4" ca="1">_FV(A4,"Shares outstanding",TRUE)</f>
        <v>2378948000</v>
      </c>
      <c r="J4" s="32" cm="1">
        <f t="array" aca="1" ref="J4" ca="1">_FV(A4,"Beta")</f>
        <v>0.75749999999999995</v>
      </c>
    </row>
    <row r="5" spans="1:10" x14ac:dyDescent="0.3">
      <c r="A5" t="e" vm="28">
        <v>#VALUE!</v>
      </c>
      <c r="B5" s="77" cm="1">
        <f t="array" aca="1" ref="B5" ca="1">_FV(A5,"Price")</f>
        <v>108.24</v>
      </c>
      <c r="C5" s="78" cm="1">
        <f t="array" aca="1" ref="C5" ca="1">_FV(A5,"Market cap",TRUE)</f>
        <v>39153341304</v>
      </c>
      <c r="D5" s="68" cm="1">
        <f t="array" aca="1" ref="D5" ca="1">_FV(A5,"Change (%)",TRUE)</f>
        <v>1.7101999999999999E-2</v>
      </c>
      <c r="E5" t="str" cm="1">
        <f t="array" aca="1" ref="E5" ca="1">_FV(A5,"Industry")</f>
        <v>Personal &amp; Household Products &amp; Services</v>
      </c>
      <c r="F5" t="s">
        <v>11</v>
      </c>
      <c r="G5" t="str" cm="1">
        <f t="array" aca="1" ref="G5" ca="1">_FV(A5,"Ticker symbol",TRUE)</f>
        <v>EL</v>
      </c>
      <c r="H5" s="32" cm="1">
        <f t="array" ref="H5">IFERROR(_FV(A5,"P/E",TRUE),0)</f>
        <v>0</v>
      </c>
      <c r="I5" s="34" cm="1">
        <f t="array" aca="1" ref="I5" ca="1">_FV(A5,"Shares outstanding",TRUE)</f>
        <v>361727100</v>
      </c>
      <c r="J5" s="32" cm="1">
        <f t="array" aca="1" ref="J5" ca="1">_FV(A5,"Beta")</f>
        <v>1.1111</v>
      </c>
    </row>
    <row r="6" spans="1:10" x14ac:dyDescent="0.3">
      <c r="A6" t="e" vm="29">
        <v>#VALUE!</v>
      </c>
      <c r="B6" s="77" cm="1">
        <f t="array" aca="1" ref="B6" ca="1">_FV(A6,"Price")</f>
        <v>2147</v>
      </c>
      <c r="C6" s="78" cm="1">
        <f t="array" aca="1" ref="C6" ca="1">_FV(A6,"Market cap",TRUE)</f>
        <v>236264300000</v>
      </c>
      <c r="D6" s="68" cm="1">
        <f t="array" aca="1" ref="D6" ca="1">_FV(A6,"Change (%)",TRUE)</f>
        <v>-1.242E-2</v>
      </c>
      <c r="E6" t="str" cm="1">
        <f t="array" aca="1" ref="E6" ca="1">_FV(A6,"Industry")</f>
        <v>Textiles &amp; Apparel</v>
      </c>
      <c r="F6" t="s">
        <v>11</v>
      </c>
      <c r="G6" t="str" cm="1">
        <f t="array" aca="1" ref="G6" ca="1">_FV(A6,"Ticker symbol",TRUE)</f>
        <v>RMS</v>
      </c>
      <c r="H6" s="32" cm="1">
        <f t="array" aca="1" ref="H6" ca="1">IFERROR(_FV(A6,"P/E",TRUE),0)</f>
        <v>50.382399999999997</v>
      </c>
      <c r="I6" s="34" cm="1">
        <f t="array" aca="1" ref="I6" ca="1">_FV(A6,"Shares outstanding",TRUE)</f>
        <v>105569400</v>
      </c>
      <c r="J6" s="32" cm="1">
        <f t="array" aca="1" ref="J6" ca="1">_FV(A6,"Beta")</f>
        <v>1.4005000000000001</v>
      </c>
    </row>
    <row r="7" spans="1:10" x14ac:dyDescent="0.3">
      <c r="A7" t="e" vm="30">
        <v>#VALUE!</v>
      </c>
      <c r="B7" s="77" cm="1">
        <f t="array" aca="1" ref="B7" ca="1">_FV(A7,"Price")</f>
        <v>57.06</v>
      </c>
      <c r="C7" s="78" cm="1">
        <f t="array" aca="1" ref="C7" ca="1">_FV(A7,"Market cap",TRUE)</f>
        <v>178023200000</v>
      </c>
      <c r="D7" s="68" cm="1">
        <f t="array" aca="1" ref="D7" ca="1">_FV(A7,"Change (%)",TRUE)</f>
        <v>-6.9610000000000002E-3</v>
      </c>
      <c r="E7" t="str" cm="1">
        <f t="array" aca="1" ref="E7" ca="1">_FV(A7,"Industry")</f>
        <v>Specialty Retailers</v>
      </c>
      <c r="F7" t="s">
        <v>11</v>
      </c>
      <c r="G7" t="str" cm="1">
        <f t="array" aca="1" ref="G7" ca="1">_FV(A7,"Ticker symbol",TRUE)</f>
        <v>ITX</v>
      </c>
      <c r="H7" s="32" cm="1">
        <f t="array" aca="1" ref="H7" ca="1">IFERROR(_FV(A7,"P/E",TRUE),0)</f>
        <v>29.652200000000001</v>
      </c>
      <c r="I7" s="34" cm="1">
        <f t="array" aca="1" ref="I7" ca="1">_FV(A7,"Shares outstanding",TRUE)</f>
        <v>3116652000</v>
      </c>
      <c r="J7" s="32" cm="1">
        <f t="array" aca="1" ref="J7" ca="1">_FV(A7,"Beta")</f>
        <v>1.1144000000000001</v>
      </c>
    </row>
    <row r="8" spans="1:10" x14ac:dyDescent="0.3">
      <c r="A8" t="e" vm="31">
        <v>#VALUE!</v>
      </c>
      <c r="B8" s="77" cm="1">
        <f t="array" aca="1" ref="B8" ca="1">_FV(A8,"Price")</f>
        <v>281.45</v>
      </c>
      <c r="C8" s="78" cm="1">
        <f t="array" aca="1" ref="C8" ca="1">_FV(A8,"Market cap",TRUE)</f>
        <v>38167880000</v>
      </c>
      <c r="D8" s="68" cm="1">
        <f t="array" aca="1" ref="D8" ca="1">_FV(A8,"Change (%)",TRUE)</f>
        <v>7.698E-3</v>
      </c>
      <c r="E8" t="str" cm="1">
        <f t="array" aca="1" ref="E8" ca="1">_FV(A8,"Industry")</f>
        <v>Specialty Retailers</v>
      </c>
      <c r="F8" t="s">
        <v>11</v>
      </c>
      <c r="G8" t="str" cm="1">
        <f t="array" aca="1" ref="G8" ca="1">_FV(A8,"Ticker symbol",TRUE)</f>
        <v>KER</v>
      </c>
      <c r="H8" s="32" cm="1">
        <f t="array" aca="1" ref="H8" ca="1">IFERROR(_FV(A8,"P/E",TRUE),0)</f>
        <v>475.49</v>
      </c>
      <c r="I8" s="34" cm="1">
        <f t="array" aca="1" ref="I8" ca="1">_FV(A8,"Shares outstanding",TRUE)</f>
        <v>123420800</v>
      </c>
      <c r="J8" s="32" cm="1">
        <f t="array" aca="1" ref="J8" ca="1">_FV(A8,"Beta")</f>
        <v>1.5654999999999999</v>
      </c>
    </row>
    <row r="9" spans="1:10" x14ac:dyDescent="0.3">
      <c r="A9" t="e" vm="32">
        <v>#VALUE!</v>
      </c>
      <c r="B9" s="77" cm="1">
        <f t="array" aca="1" ref="B9" ca="1">_FV(A9,"Price")</f>
        <v>2.4249999999999998</v>
      </c>
      <c r="C9" s="78" cm="1">
        <f t="array" aca="1" ref="C9" ca="1">_FV(A9,"Market cap",TRUE)</f>
        <v>555127300000</v>
      </c>
      <c r="D9" s="68" cm="1">
        <f t="array" aca="1" ref="D9" ca="1">_FV(A9,"Change (%)",TRUE)</f>
        <v>1.2103999999999998E-2</v>
      </c>
      <c r="E9" t="str" cm="1">
        <f t="array" aca="1" ref="E9" ca="1">_FV(A9,"Industry")</f>
        <v>Automobiles &amp; Auto Parts</v>
      </c>
      <c r="F9" t="s">
        <v>11</v>
      </c>
      <c r="G9" t="str" cm="1">
        <f t="array" aca="1" ref="G9" ca="1">_FV(A9,"Ticker symbol",TRUE)</f>
        <v>MMO</v>
      </c>
      <c r="H9" s="32" cm="1">
        <f t="array" aca="1" ref="H9" ca="1">IFERROR(_FV(A9,"P/E",TRUE),0)</f>
        <v>184.02</v>
      </c>
      <c r="I9" s="34" cm="1">
        <f t="array" aca="1" ref="I9" ca="1">_FV(A9,"Shares outstanding",TRUE)</f>
        <v>1460477000</v>
      </c>
      <c r="J9" s="32" cm="1">
        <f t="array" aca="1" ref="J9" ca="1">_FV(A9,"Beta")</f>
        <v>1.1014999999999999</v>
      </c>
    </row>
    <row r="10" spans="1:10" x14ac:dyDescent="0.3">
      <c r="A10" t="e" vm="33">
        <v>#VALUE!</v>
      </c>
      <c r="B10" s="77" cm="1">
        <f t="array" aca="1" ref="B10" ca="1">_FV(A10,"Price")</f>
        <v>58.03</v>
      </c>
      <c r="C10" s="78" cm="1">
        <f t="array" aca="1" ref="C10" ca="1">_FV(A10,"Market cap",TRUE)</f>
        <v>57639410000</v>
      </c>
      <c r="D10" s="68" cm="1">
        <f t="array" aca="1" ref="D10" ca="1">_FV(A10,"Change (%)",TRUE)</f>
        <v>2.0218E-2</v>
      </c>
      <c r="E10" t="str" cm="1">
        <f t="array" aca="1" ref="E10" ca="1">_FV(A10,"Industry")</f>
        <v>Automobiles &amp; Auto Parts</v>
      </c>
      <c r="F10" t="s">
        <v>11</v>
      </c>
      <c r="G10" t="str" cm="1">
        <f t="array" aca="1" ref="G10" ca="1">_FV(A10,"Ticker symbol",TRUE)</f>
        <v>MBG</v>
      </c>
      <c r="H10" s="32" cm="1">
        <f t="array" aca="1" ref="H10" ca="1">IFERROR(_FV(A10,"P/E",TRUE),0)</f>
        <v>10.65</v>
      </c>
      <c r="I10" s="34" cm="1">
        <f t="array" aca="1" ref="I10" ca="1">_FV(A10,"Shares outstanding",TRUE)</f>
        <v>962903700</v>
      </c>
      <c r="J10" s="32" cm="1">
        <f t="array" aca="1" ref="J10" ca="1">_FV(A10,"Beta")</f>
        <v>1.0024999999999999</v>
      </c>
    </row>
    <row r="11" spans="1:10" x14ac:dyDescent="0.3">
      <c r="A11" t="e" vm="34">
        <v>#VALUE!</v>
      </c>
      <c r="B11" s="77" cm="1">
        <f t="array" aca="1" ref="B11" ca="1">_FV(A11,"Price")</f>
        <v>6.6559999999999997</v>
      </c>
      <c r="C11" s="78" cm="1">
        <f t="array" aca="1" ref="C11" ca="1">_FV(A11,"Market cap",TRUE)</f>
        <v>25186840000</v>
      </c>
      <c r="D11" s="68" cm="1">
        <f t="array" aca="1" ref="D11" ca="1">_FV(A11,"Change (%)",TRUE)</f>
        <v>6.9589999999999999E-3</v>
      </c>
      <c r="E11" t="str" cm="1">
        <f t="array" aca="1" ref="E11" ca="1">_FV(A11,"Industry")</f>
        <v>Automobiles &amp; Auto Parts</v>
      </c>
      <c r="F11" t="s">
        <v>11</v>
      </c>
      <c r="G11" t="str" cm="1">
        <f t="array" aca="1" ref="G11" ca="1">_FV(A11,"Ticker symbol",TRUE)</f>
        <v>STLA</v>
      </c>
      <c r="H11" s="32" cm="1">
        <f t="array" aca="1" ref="H11" ca="1">IFERROR(_FV(A11,"P/E",TRUE),0)</f>
        <v>0</v>
      </c>
      <c r="I11" s="34" cm="1">
        <f t="array" aca="1" ref="I11" ca="1">_FV(A11,"Shares outstanding",TRUE)</f>
        <v>2903716000</v>
      </c>
      <c r="J11" s="32" cm="1">
        <f t="array" aca="1" ref="J11" ca="1">_FV(A11,"Beta")</f>
        <v>1.6463000000000001</v>
      </c>
    </row>
    <row r="12" spans="1:10" x14ac:dyDescent="0.3">
      <c r="A12" t="e" vm="35">
        <v>#VALUE!</v>
      </c>
      <c r="B12" s="77" cm="1">
        <f t="array" aca="1" ref="B12" ca="1">_FV(A12,"Price")</f>
        <v>103.15</v>
      </c>
      <c r="C12" s="78" cm="1">
        <f t="array" aca="1" ref="C12" ca="1">_FV(A12,"Market cap",TRUE)</f>
        <v>51536360000</v>
      </c>
      <c r="D12" s="68" cm="1">
        <f t="array" aca="1" ref="D12" ca="1">_FV(A12,"Change (%)",TRUE)</f>
        <v>4.3819999999999996E-3</v>
      </c>
      <c r="E12" t="str" cm="1">
        <f t="array" aca="1" ref="E12" ca="1">_FV(A12,"Industry")</f>
        <v>Automobiles &amp; Auto Parts</v>
      </c>
      <c r="F12" t="s">
        <v>11</v>
      </c>
      <c r="G12" t="str" cm="1">
        <f t="array" aca="1" ref="G12" ca="1">_FV(A12,"Ticker symbol",TRUE)</f>
        <v>VOW3</v>
      </c>
      <c r="H12" s="32" cm="1">
        <f t="array" aca="1" ref="H12" ca="1">IFERROR(_FV(A12,"P/E",TRUE),0)</f>
        <v>7.79</v>
      </c>
      <c r="I12" s="34" cm="1">
        <f t="array" aca="1" ref="I12" ca="1">_FV(A12,"Shares outstanding",TRUE)</f>
        <v>501295300</v>
      </c>
      <c r="J12" s="32" cm="1">
        <f t="array" aca="1" ref="J12" ca="1">_FV(A12,"Beta")</f>
        <v>1.6652</v>
      </c>
    </row>
    <row r="13" spans="1:10" x14ac:dyDescent="0.3">
      <c r="A13" t="e" vm="36">
        <v>#VALUE!</v>
      </c>
      <c r="B13" s="77" cm="1">
        <f t="array" aca="1" ref="B13" ca="1">_FV(A13,"Price")</f>
        <v>20.9</v>
      </c>
      <c r="C13" s="78" cm="1">
        <f t="array" aca="1" ref="C13" ca="1">_FV(A13,"Market cap",TRUE)</f>
        <v>6969121000</v>
      </c>
      <c r="D13" s="68" cm="1">
        <f t="array" aca="1" ref="D13" ca="1">_FV(A13,"Change (%)",TRUE)</f>
        <v>1.1616999999999999E-2</v>
      </c>
      <c r="E13" t="str" cm="1">
        <f t="array" aca="1" ref="E13" ca="1">_FV(A13,"Industry")</f>
        <v>Software &amp; IT Services</v>
      </c>
      <c r="F13" t="s">
        <v>11</v>
      </c>
      <c r="G13" t="str" cm="1">
        <f t="array" aca="1" ref="G13" ca="1">_FV(A13,"Ticker symbol",TRUE)</f>
        <v>ZAL</v>
      </c>
      <c r="H13" s="32" cm="1">
        <f t="array" aca="1" ref="H13" ca="1">IFERROR(_FV(A13,"P/E",TRUE),0)</f>
        <v>22.4</v>
      </c>
      <c r="I13" s="34" cm="1">
        <f t="array" aca="1" ref="I13" ca="1">_FV(A13,"Shares outstanding",TRUE)</f>
        <v>264182000</v>
      </c>
      <c r="J13" s="32" cm="1">
        <f t="array" aca="1" ref="J13" ca="1">_FV(A13,"Beta")</f>
        <v>1.9691000000000001</v>
      </c>
    </row>
    <row r="14" spans="1:10" x14ac:dyDescent="0.3">
      <c r="A14" t="e" vm="37">
        <v>#VALUE!</v>
      </c>
      <c r="B14" s="77" cm="1">
        <f t="array" aca="1" ref="B14" ca="1">_FV(A14,"Price")</f>
        <v>67.680000000000007</v>
      </c>
      <c r="C14" s="78" cm="1">
        <f t="array" aca="1" ref="C14" ca="1">_FV(A14,"Market cap",TRUE)</f>
        <v>103353100000</v>
      </c>
      <c r="D14" s="68" cm="1">
        <f t="array" aca="1" ref="D14" ca="1">_FV(A14,"Change (%)",TRUE)</f>
        <v>-1.2546999999999999E-2</v>
      </c>
      <c r="E14" t="str" cm="1">
        <f t="array" aca="1" ref="E14" ca="1">_FV(A14,"Industry")</f>
        <v>Beverages</v>
      </c>
      <c r="F14" t="s">
        <v>15</v>
      </c>
      <c r="G14" t="str" cm="1">
        <f t="array" aca="1" ref="G14" ca="1">_FV(A14,"Ticker symbol",TRUE)</f>
        <v>ABI</v>
      </c>
      <c r="H14" s="32" cm="1">
        <f t="array" aca="1" ref="H14" ca="1">IFERROR(_FV(A14,"P/E",TRUE),0)</f>
        <v>23.368600000000001</v>
      </c>
      <c r="I14" s="34" cm="1">
        <f t="array" aca="1" ref="I14" ca="1">_FV(A14,"Shares outstanding",TRUE)</f>
        <v>1797203000</v>
      </c>
      <c r="J14" s="32" cm="1">
        <f t="array" aca="1" ref="J14" ca="1">_FV(A14,"Beta")</f>
        <v>0.86429999999999996</v>
      </c>
    </row>
    <row r="15" spans="1:10" x14ac:dyDescent="0.3">
      <c r="A15" t="e" vm="38">
        <v>#VALUE!</v>
      </c>
      <c r="B15" s="77" cm="1">
        <f t="array" aca="1" ref="B15" ca="1">_FV(A15,"Price")</f>
        <v>72.319999999999993</v>
      </c>
      <c r="C15" s="78" cm="1">
        <f t="array" aca="1" ref="C15" ca="1">_FV(A15,"Market cap",TRUE)</f>
        <v>52862590000</v>
      </c>
      <c r="D15" s="68" cm="1">
        <f t="array" aca="1" ref="D15" ca="1">_FV(A15,"Change (%)",TRUE)</f>
        <v>5.5340000000000001E-4</v>
      </c>
      <c r="E15" t="str" cm="1">
        <f t="array" aca="1" ref="E15" ca="1">_FV(A15,"Industry")</f>
        <v>Food &amp; Tobacco</v>
      </c>
      <c r="F15" t="s">
        <v>15</v>
      </c>
      <c r="G15" t="str" cm="1">
        <f t="array" aca="1" ref="G15" ca="1">_FV(A15,"Ticker symbol",TRUE)</f>
        <v>BN</v>
      </c>
      <c r="H15" s="32" cm="1">
        <f t="array" aca="1" ref="H15" ca="1">IFERROR(_FV(A15,"P/E",TRUE),0)</f>
        <v>25.290400000000002</v>
      </c>
      <c r="I15" s="34" cm="1">
        <f t="array" aca="1" ref="I15" ca="1">_FV(A15,"Shares outstanding",TRUE)</f>
        <v>681394500</v>
      </c>
      <c r="J15" s="32" cm="1">
        <f t="array" aca="1" ref="J15" ca="1">_FV(A15,"Beta")</f>
        <v>0.3906</v>
      </c>
    </row>
    <row r="16" spans="1:10" x14ac:dyDescent="0.3">
      <c r="A16" t="e" vm="39">
        <v>#VALUE!</v>
      </c>
      <c r="B16" s="77" cm="1">
        <f t="array" aca="1" ref="B16" ca="1">_FV(A16,"Price")</f>
        <v>372.35</v>
      </c>
      <c r="C16" s="78" cm="1">
        <f t="array" aca="1" ref="C16" ca="1">_FV(A16,"Market cap",TRUE)</f>
        <v>208922700000</v>
      </c>
      <c r="D16" s="68" cm="1">
        <f t="array" aca="1" ref="D16" ca="1">_FV(A16,"Change (%)",TRUE)</f>
        <v>-4.9279000000000003E-2</v>
      </c>
      <c r="E16" t="str" cm="1">
        <f t="array" aca="1" ref="E16" ca="1">_FV(A16,"Industry")</f>
        <v>Personal &amp; Household Products &amp; Services</v>
      </c>
      <c r="F16" t="s">
        <v>15</v>
      </c>
      <c r="G16" t="str" cm="1">
        <f t="array" aca="1" ref="G16" ca="1">_FV(A16,"Ticker symbol",TRUE)</f>
        <v>OR</v>
      </c>
      <c r="H16" s="32" cm="1">
        <f t="array" aca="1" ref="H16" ca="1">IFERROR(_FV(A16,"P/E",TRUE),0)</f>
        <v>34.172699999999999</v>
      </c>
      <c r="I16" s="34" cm="1">
        <f t="array" aca="1" ref="I16" ca="1">_FV(A16,"Shares outstanding",TRUE)</f>
        <v>533783000</v>
      </c>
      <c r="J16" s="32" cm="1">
        <f t="array" aca="1" ref="J16" ca="1">_FV(A16,"Beta")</f>
        <v>0.93779999999999997</v>
      </c>
    </row>
    <row r="17" spans="1:10" x14ac:dyDescent="0.3">
      <c r="A17" t="e" vm="40">
        <v>#VALUE!</v>
      </c>
      <c r="B17" s="77" cm="1">
        <f t="array" aca="1" ref="B17" ca="1">_FV(A17,"Price")</f>
        <v>9.3000000000000007</v>
      </c>
      <c r="C17" s="78" cm="1">
        <f t="array" aca="1" ref="C17" ca="1">_FV(A17,"Market cap",TRUE)</f>
        <v>94062130000</v>
      </c>
      <c r="D17" s="68" cm="1">
        <f t="array" aca="1" ref="D17" ca="1">_FV(A17,"Change (%)",TRUE)</f>
        <v>4.4280000000000005E-3</v>
      </c>
      <c r="E17" t="str" cm="1">
        <f t="array" aca="1" ref="E17" ca="1">_FV(A17,"Industry")</f>
        <v>Electrical Utilities &amp; IPPs</v>
      </c>
      <c r="F17" t="s">
        <v>17</v>
      </c>
      <c r="G17" t="str" cm="1">
        <f t="array" aca="1" ref="G17" ca="1">_FV(A17,"Ticker symbol",TRUE)</f>
        <v>ENEL</v>
      </c>
      <c r="H17" s="32" cm="1">
        <f t="array" aca="1" ref="H17" ca="1">IFERROR(_FV(A17,"P/E",TRUE),0)</f>
        <v>15.81</v>
      </c>
      <c r="I17" s="34" cm="1">
        <f t="array" aca="1" ref="I17" ca="1">_FV(A17,"Shares outstanding",TRUE)</f>
        <v>10166680000</v>
      </c>
      <c r="J17" s="32" cm="1">
        <f t="array" aca="1" ref="J17" ca="1">_FV(A17,"Beta")</f>
        <v>0.76049999999999995</v>
      </c>
    </row>
    <row r="18" spans="1:10" x14ac:dyDescent="0.3">
      <c r="A18" t="e" vm="41">
        <v>#VALUE!</v>
      </c>
      <c r="B18" s="77" cm="1">
        <f t="array" aca="1" ref="B18" ca="1">_FV(A18,"Price")</f>
        <v>18.184000000000001</v>
      </c>
      <c r="C18" s="78" cm="1">
        <f t="array" aca="1" ref="C18" ca="1">_FV(A18,"Market cap",TRUE)</f>
        <v>51688770000</v>
      </c>
      <c r="D18" s="68" cm="1">
        <f t="array" aca="1" ref="D18" ca="1">_FV(A18,"Change (%)",TRUE)</f>
        <v>4.5300000000000002E-3</v>
      </c>
      <c r="E18" t="str" cm="1">
        <f t="array" aca="1" ref="E18" ca="1">_FV(A18,"Industry")</f>
        <v>Oil &amp; Gas</v>
      </c>
      <c r="F18" t="s">
        <v>17</v>
      </c>
      <c r="G18" t="str" cm="1">
        <f t="array" aca="1" ref="G18" ca="1">_FV(A18,"Ticker symbol",TRUE)</f>
        <v>ENI</v>
      </c>
      <c r="H18" s="32" cm="1">
        <f t="array" aca="1" ref="H18" ca="1">IFERROR(_FV(A18,"P/E",TRUE),0)</f>
        <v>19.991199999999999</v>
      </c>
      <c r="I18" s="34" cm="1">
        <f t="array" aca="1" ref="I18" ca="1">_FV(A18,"Shares outstanding",TRUE)</f>
        <v>3146765000</v>
      </c>
      <c r="J18" s="32" cm="1">
        <f t="array" aca="1" ref="J18" ca="1">_FV(A18,"Beta")</f>
        <v>0.78159999999999996</v>
      </c>
    </row>
    <row r="19" spans="1:10" x14ac:dyDescent="0.3">
      <c r="A19" t="e" vm="42">
        <v>#VALUE!</v>
      </c>
      <c r="B19" s="77" cm="1">
        <f t="array" aca="1" ref="B19" ca="1">_FV(A19,"Price")</f>
        <v>76.77</v>
      </c>
      <c r="C19" s="78" cm="1">
        <f t="array" aca="1" ref="C19" ca="1">_FV(A19,"Market cap",TRUE)</f>
        <v>168003468000</v>
      </c>
      <c r="D19" s="68" cm="1">
        <f t="array" aca="1" ref="D19" ca="1">_FV(A19,"Change (%)",TRUE)</f>
        <v>8.5389999999999997E-3</v>
      </c>
      <c r="E19" t="str" cm="1">
        <f t="array" aca="1" ref="E19" ca="1">_FV(A19,"Industry")</f>
        <v>Oil &amp; Gas</v>
      </c>
      <c r="F19" t="s">
        <v>17</v>
      </c>
      <c r="G19" t="str" cm="1">
        <f t="array" aca="1" ref="G19" ca="1">_FV(A19,"Ticker symbol",TRUE)</f>
        <v>TTE</v>
      </c>
      <c r="H19" s="32" cm="1">
        <f t="array" aca="1" ref="H19" ca="1">IFERROR(_FV(A19,"P/E",TRUE),0)</f>
        <v>12.199400000000001</v>
      </c>
      <c r="I19" s="34" cm="1">
        <f t="array" aca="1" ref="I19" ca="1">_FV(A19,"Shares outstanding",TRUE)</f>
        <v>2188400000</v>
      </c>
      <c r="J19" s="32" cm="1">
        <f t="array" aca="1" ref="J19" ca="1">_FV(A19,"Beta")</f>
        <v>0.2273</v>
      </c>
    </row>
    <row r="20" spans="1:10" x14ac:dyDescent="0.3">
      <c r="A20" t="e" vm="43">
        <v>#VALUE!</v>
      </c>
      <c r="B20" s="77" cm="1">
        <f t="array" aca="1" ref="B20" ca="1">_FV(A20,"Price")</f>
        <v>367.5</v>
      </c>
      <c r="C20" s="78" cm="1">
        <f t="array" aca="1" ref="C20" ca="1">_FV(A20,"Market cap",TRUE)</f>
        <v>144483100000</v>
      </c>
      <c r="D20" s="68" cm="1">
        <f t="array" aca="1" ref="D20" ca="1">_FV(A20,"Change (%)",TRUE)</f>
        <v>-2.9840000000000001E-3</v>
      </c>
      <c r="E20" t="str" cm="1">
        <f t="array" aca="1" ref="E20" ca="1">_FV(A20,"Industry")</f>
        <v>Insurance</v>
      </c>
      <c r="F20" t="s">
        <v>9</v>
      </c>
      <c r="G20" t="str" cm="1">
        <f t="array" aca="1" ref="G20" ca="1">_FV(A20,"Ticker symbol",TRUE)</f>
        <v>ALV</v>
      </c>
      <c r="H20" s="32" cm="1">
        <f t="array" aca="1" ref="H20" ca="1">IFERROR(_FV(A20,"P/E",TRUE),0)</f>
        <v>13.65</v>
      </c>
      <c r="I20" s="34" cm="1">
        <f t="array" aca="1" ref="I20" ca="1">_FV(A20,"Shares outstanding",TRUE)</f>
        <v>380418900</v>
      </c>
      <c r="J20" s="32" cm="1">
        <f t="array" aca="1" ref="J20" ca="1">_FV(A20,"Beta")</f>
        <v>0.75890000000000002</v>
      </c>
    </row>
    <row r="21" spans="1:10" x14ac:dyDescent="0.3">
      <c r="A21" t="e" vm="44">
        <v>#VALUE!</v>
      </c>
      <c r="B21" s="77" cm="1">
        <f t="array" aca="1" ref="B21" ca="1">_FV(A21,"Price")</f>
        <v>15.87</v>
      </c>
      <c r="C21" s="78" cm="1">
        <f t="array" aca="1" ref="C21" ca="1">_FV(A21,"Market cap",TRUE)</f>
        <v>12119231829</v>
      </c>
      <c r="D21" s="68" cm="1">
        <f t="array" aca="1" ref="D21" ca="1">_FV(A21,"Change (%)",TRUE)</f>
        <v>2.5194000000000001E-2</v>
      </c>
      <c r="E21" t="str" cm="1">
        <f t="array" aca="1" ref="E21" ca="1">_FV(A21,"Industry")</f>
        <v>Metals &amp; Mining</v>
      </c>
      <c r="F21" t="s">
        <v>9</v>
      </c>
      <c r="G21" t="str" cm="1">
        <f t="array" aca="1" ref="G21" ca="1">_FV(A21,"Ticker symbol",TRUE)</f>
        <v>CS</v>
      </c>
      <c r="H21" s="32" cm="1">
        <f t="array" ref="H21">IFERROR(_FV(A21,"P/E",TRUE),0)</f>
        <v>0</v>
      </c>
      <c r="I21" s="34" cm="1">
        <f t="array" aca="1" ref="I21" ca="1">_FV(A21,"Shares outstanding",TRUE)</f>
        <v>763656700</v>
      </c>
      <c r="J21" s="32" cm="1">
        <f t="array" aca="1" ref="J21" ca="1">_FV(A21,"Beta")</f>
        <v>2.1993</v>
      </c>
    </row>
    <row r="22" spans="1:10" x14ac:dyDescent="0.3">
      <c r="A22" t="e" vm="45">
        <v>#VALUE!</v>
      </c>
      <c r="B22" s="77" cm="1">
        <f t="array" aca="1" ref="B22" ca="1">_FV(A22,"Price")</f>
        <v>19.215</v>
      </c>
      <c r="C22" s="78" cm="1">
        <f t="array" aca="1" ref="C22" ca="1">_FV(A22,"Market cap",TRUE)</f>
        <v>119945400000</v>
      </c>
      <c r="D22" s="68" cm="1">
        <f t="array" aca="1" ref="D22" ca="1">_FV(A22,"Change (%)",TRUE)</f>
        <v>-3.2476999999999999E-2</v>
      </c>
      <c r="E22" t="str" cm="1">
        <f t="array" aca="1" ref="E22" ca="1">_FV(A22,"Industry")</f>
        <v>Banking Services</v>
      </c>
      <c r="F22" t="s">
        <v>9</v>
      </c>
      <c r="G22" t="str" cm="1">
        <f t="array" aca="1" ref="G22" ca="1">_FV(A22,"Ticker symbol",TRUE)</f>
        <v>BBVA</v>
      </c>
      <c r="H22" s="32" cm="1">
        <f t="array" aca="1" ref="H22" ca="1">IFERROR(_FV(A22,"P/E",TRUE),0)</f>
        <v>11.31</v>
      </c>
      <c r="I22" s="34" cm="1">
        <f t="array" aca="1" ref="I22" ca="1">_FV(A22,"Shares outstanding",TRUE)</f>
        <v>5708969000</v>
      </c>
      <c r="J22" s="32" cm="1">
        <f t="array" aca="1" ref="J22" ca="1">_FV(A22,"Beta")</f>
        <v>1.5153000000000001</v>
      </c>
    </row>
    <row r="23" spans="1:10" x14ac:dyDescent="0.3">
      <c r="A23" t="e" vm="46">
        <v>#VALUE!</v>
      </c>
      <c r="B23" s="77" cm="1">
        <f t="array" aca="1" ref="B23" ca="1">_FV(A23,"Price")</f>
        <v>89.45</v>
      </c>
      <c r="C23" s="78" cm="1">
        <f t="array" aca="1" ref="C23" ca="1">_FV(A23,"Market cap",TRUE)</f>
        <v>97137940000</v>
      </c>
      <c r="D23" s="68" cm="1">
        <f t="array" aca="1" ref="D23" ca="1">_FV(A23,"Change (%)",TRUE)</f>
        <v>-1.4867999999999999E-2</v>
      </c>
      <c r="E23" t="str" cm="1">
        <f t="array" aca="1" ref="E23" ca="1">_FV(A23,"Industry")</f>
        <v>Banking Services</v>
      </c>
      <c r="F23" t="s">
        <v>9</v>
      </c>
      <c r="G23" t="str" cm="1">
        <f t="array" aca="1" ref="G23" ca="1">_FV(A23,"Ticker symbol",TRUE)</f>
        <v>BNP</v>
      </c>
      <c r="H23" s="32" cm="1">
        <f t="array" aca="1" ref="H23" ca="1">IFERROR(_FV(A23,"P/E",TRUE),0)</f>
        <v>8.85</v>
      </c>
      <c r="I23" s="34" cm="1">
        <f t="array" aca="1" ref="I23" ca="1">_FV(A23,"Shares outstanding",TRUE)</f>
        <v>1101601000</v>
      </c>
      <c r="J23" s="32" cm="1">
        <f t="array" aca="1" ref="J23" ca="1">_FV(A23,"Beta")</f>
        <v>1.1217999999999999</v>
      </c>
    </row>
    <row r="24" spans="1:10" x14ac:dyDescent="0.3">
      <c r="A24" t="e" vm="47">
        <v>#VALUE!</v>
      </c>
      <c r="B24" s="77" cm="1">
        <f t="array" aca="1" ref="B24" ca="1">_FV(A24,"Price")</f>
        <v>29.66</v>
      </c>
      <c r="C24" s="78" cm="1">
        <f t="array" aca="1" ref="C24" ca="1">_FV(A24,"Market cap",TRUE)</f>
        <v>64367410000</v>
      </c>
      <c r="D24" s="68" cm="1">
        <f t="array" aca="1" ref="D24" ca="1">_FV(A24,"Change (%)",TRUE)</f>
        <v>-3.5916999999999998E-2</v>
      </c>
      <c r="E24" t="str" cm="1">
        <f t="array" aca="1" ref="E24" ca="1">_FV(A24,"Industry")</f>
        <v>Banking Services</v>
      </c>
      <c r="F24" t="s">
        <v>9</v>
      </c>
      <c r="G24" t="str" cm="1">
        <f t="array" aca="1" ref="G24" ca="1">_FV(A24,"Ticker symbol",TRUE)</f>
        <v>DBK</v>
      </c>
      <c r="H24" s="32" cm="1">
        <f t="array" aca="1" ref="H24" ca="1">IFERROR(_FV(A24,"P/E",TRUE),0)</f>
        <v>10.37</v>
      </c>
      <c r="I24" s="34" cm="1">
        <f t="array" aca="1" ref="I24" ca="1">_FV(A24,"Shares outstanding",TRUE)</f>
        <v>1910579000</v>
      </c>
      <c r="J24" s="32" cm="1">
        <f t="array" aca="1" ref="J24" ca="1">_FV(A24,"Beta")</f>
        <v>1.0969</v>
      </c>
    </row>
    <row r="25" spans="1:10" x14ac:dyDescent="0.3">
      <c r="A25" t="e" vm="48">
        <v>#VALUE!</v>
      </c>
      <c r="B25" s="77" cm="1">
        <f t="array" aca="1" ref="B25" ca="1">_FV(A25,"Price")</f>
        <v>34.840000000000003</v>
      </c>
      <c r="C25" s="78" cm="1">
        <f t="array" aca="1" ref="C25" ca="1">_FV(A25,"Market cap",TRUE)</f>
        <v>53731040000</v>
      </c>
      <c r="D25" s="68" cm="1">
        <f t="array" aca="1" ref="D25" ca="1">_FV(A25,"Change (%)",TRUE)</f>
        <v>6.0640000000000008E-3</v>
      </c>
      <c r="E25" t="str" cm="1">
        <f t="array" aca="1" ref="E25" ca="1">_FV(A25,"Industry")</f>
        <v>Insurance</v>
      </c>
      <c r="F25" t="s">
        <v>9</v>
      </c>
      <c r="G25" t="str" cm="1">
        <f t="array" aca="1" ref="G25" ca="1">_FV(A25,"Ticker symbol",TRUE)</f>
        <v>G</v>
      </c>
      <c r="H25" s="32" cm="1">
        <f t="array" aca="1" ref="H25" ca="1">IFERROR(_FV(A25,"P/E",TRUE),0)</f>
        <v>13.7996</v>
      </c>
      <c r="I25" s="34" cm="1">
        <f t="array" aca="1" ref="I25" ca="1">_FV(A25,"Shares outstanding",TRUE)</f>
        <v>1549785000</v>
      </c>
      <c r="J25" s="32" cm="1">
        <f t="array" aca="1" ref="J25" ca="1">_FV(A25,"Beta")</f>
        <v>0.73629999999999995</v>
      </c>
    </row>
    <row r="26" spans="1:10" x14ac:dyDescent="0.3">
      <c r="A26" t="e" vm="49">
        <v>#VALUE!</v>
      </c>
      <c r="B26" s="77" cm="1">
        <f t="array" aca="1" ref="B26" ca="1">_FV(A26,"Price")</f>
        <v>23.72</v>
      </c>
      <c r="C26" s="78" cm="1">
        <f t="array" aca="1" ref="C26" ca="1">_FV(A26,"Market cap",TRUE)</f>
        <v>72305520000</v>
      </c>
      <c r="D26" s="68" cm="1">
        <f t="array" aca="1" ref="D26" ca="1">_FV(A26,"Change (%)",TRUE)</f>
        <v>-3.2626000000000002E-2</v>
      </c>
      <c r="E26" t="str" cm="1">
        <f t="array" aca="1" ref="E26" ca="1">_FV(A26,"Industry")</f>
        <v>Banking Services</v>
      </c>
      <c r="F26" t="s">
        <v>9</v>
      </c>
      <c r="G26" t="str" cm="1">
        <f t="array" aca="1" ref="G26" ca="1">_FV(A26,"Ticker symbol",TRUE)</f>
        <v>INGA</v>
      </c>
      <c r="H26" s="32" cm="1">
        <f t="array" aca="1" ref="H26" ca="1">IFERROR(_FV(A26,"P/E",TRUE),0)</f>
        <v>11.57</v>
      </c>
      <c r="I26" s="34" cm="1">
        <f t="array" aca="1" ref="I26" ca="1">_FV(A26,"Shares outstanding",TRUE)</f>
        <v>2920349000</v>
      </c>
      <c r="J26" s="32" cm="1">
        <f t="array" aca="1" ref="J26" ca="1">_FV(A26,"Beta")</f>
        <v>1.0179</v>
      </c>
    </row>
    <row r="27" spans="1:10" x14ac:dyDescent="0.3">
      <c r="A27" t="e" vm="50">
        <v>#VALUE!</v>
      </c>
      <c r="B27" s="77" cm="1">
        <f t="array" aca="1" ref="B27" ca="1">_FV(A27,"Price")</f>
        <v>5.6970000000000001</v>
      </c>
      <c r="C27" s="78" cm="1">
        <f t="array" aca="1" ref="C27" ca="1">_FV(A27,"Market cap",TRUE)</f>
        <v>104306200000</v>
      </c>
      <c r="D27" s="68" cm="1">
        <f t="array" aca="1" ref="D27" ca="1">_FV(A27,"Change (%)",TRUE)</f>
        <v>-2.5821E-2</v>
      </c>
      <c r="E27" t="str" cm="1">
        <f t="array" aca="1" ref="E27" ca="1">_FV(A27,"Industry")</f>
        <v>Banking Services</v>
      </c>
      <c r="F27" t="s">
        <v>9</v>
      </c>
      <c r="G27" t="str" cm="1">
        <f t="array" aca="1" ref="G27" ca="1">_FV(A27,"Ticker symbol",TRUE)</f>
        <v>ISP</v>
      </c>
      <c r="H27" s="32" cm="1">
        <f t="array" aca="1" ref="H27" ca="1">IFERROR(_FV(A27,"P/E",TRUE),0)</f>
        <v>11.0905</v>
      </c>
      <c r="I27" s="34" cm="1">
        <f t="array" aca="1" ref="I27" ca="1">_FV(A27,"Shares outstanding",TRUE)</f>
        <v>17413390000</v>
      </c>
      <c r="J27" s="32" cm="1">
        <f t="array" aca="1" ref="J27" ca="1">_FV(A27,"Beta")</f>
        <v>1.1858</v>
      </c>
    </row>
    <row r="28" spans="1:10" x14ac:dyDescent="0.3">
      <c r="A28" t="e" vm="51">
        <v>#VALUE!</v>
      </c>
      <c r="B28" s="77" cm="1">
        <f t="array" aca="1" ref="B28" ca="1">_FV(A28,"Price")</f>
        <v>532.6</v>
      </c>
      <c r="C28" s="78" cm="1">
        <f t="array" aca="1" ref="C28" ca="1">_FV(A28,"Market cap",TRUE)</f>
        <v>67830920000</v>
      </c>
      <c r="D28" s="68" cm="1">
        <f t="array" aca="1" ref="D28" ca="1">_FV(A28,"Change (%)",TRUE)</f>
        <v>-2.0235E-2</v>
      </c>
      <c r="E28" t="str" cm="1">
        <f t="array" aca="1" ref="E28" ca="1">_FV(A28,"Industry")</f>
        <v>Insurance</v>
      </c>
      <c r="F28" t="s">
        <v>9</v>
      </c>
      <c r="G28" t="str" cm="1">
        <f t="array" aca="1" ref="G28" ca="1">_FV(A28,"Ticker symbol",TRUE)</f>
        <v>MUV2</v>
      </c>
      <c r="H28" s="32" cm="1">
        <f t="array" aca="1" ref="H28" ca="1">IFERROR(_FV(A28,"P/E",TRUE),0)</f>
        <v>11.3</v>
      </c>
      <c r="I28" s="34" cm="1">
        <f t="array" aca="1" ref="I28" ca="1">_FV(A28,"Shares outstanding",TRUE)</f>
        <v>130645100</v>
      </c>
      <c r="J28" s="32" cm="1">
        <f t="array" aca="1" ref="J28" ca="1">_FV(A28,"Beta")</f>
        <v>0.59909999999999997</v>
      </c>
    </row>
    <row r="29" spans="1:10" x14ac:dyDescent="0.3">
      <c r="A29" t="e" vm="52">
        <v>#VALUE!</v>
      </c>
      <c r="B29" s="77" cm="1">
        <f t="array" aca="1" ref="B29" ca="1">_FV(A29,"Price")</f>
        <v>71.33</v>
      </c>
      <c r="C29" s="78" cm="1">
        <f t="array" aca="1" ref="C29" ca="1">_FV(A29,"Market cap",TRUE)</f>
        <v>111295900000</v>
      </c>
      <c r="D29" s="68" cm="1">
        <f t="array" aca="1" ref="D29" ca="1">_FV(A29,"Change (%)",TRUE)</f>
        <v>-3.7900999999999997E-2</v>
      </c>
      <c r="E29" t="str" cm="1">
        <f t="array" aca="1" ref="E29" ca="1">_FV(A29,"Industry")</f>
        <v>Banking Services</v>
      </c>
      <c r="F29" t="s">
        <v>9</v>
      </c>
      <c r="G29" t="str" cm="1">
        <f t="array" aca="1" ref="G29" ca="1">_FV(A29,"Ticker symbol",TRUE)</f>
        <v>UCG</v>
      </c>
      <c r="H29" s="32" cm="1">
        <f t="array" aca="1" ref="H29" ca="1">IFERROR(_FV(A29,"P/E",TRUE),0)</f>
        <v>10.8773</v>
      </c>
      <c r="I29" s="34" cm="1">
        <f t="array" aca="1" ref="I29" ca="1">_FV(A29,"Shares outstanding",TRUE)</f>
        <v>1557675000</v>
      </c>
      <c r="J29" s="32" cm="1">
        <f t="array" aca="1" ref="J29" ca="1">_FV(A29,"Beta")</f>
        <v>1.6714</v>
      </c>
    </row>
    <row r="30" spans="1:10" x14ac:dyDescent="0.3">
      <c r="A30" t="e" vm="53">
        <v>#VALUE!</v>
      </c>
      <c r="B30" s="77" cm="1">
        <f t="array" aca="1" ref="B30" ca="1">_FV(A30,"Price")</f>
        <v>40.880000000000003</v>
      </c>
      <c r="C30" s="78" cm="1">
        <f t="array" aca="1" ref="C30" ca="1">_FV(A30,"Market cap",TRUE)</f>
        <v>52722720000</v>
      </c>
      <c r="D30" s="68" cm="1">
        <f t="array" aca="1" ref="D30" ca="1">_FV(A30,"Change (%)",TRUE)</f>
        <v>1.0381E-2</v>
      </c>
      <c r="E30" t="str" cm="1">
        <f t="array" aca="1" ref="E30" ca="1">_FV(A30,"Industry")</f>
        <v>Healthcare Equipment &amp; Supplies</v>
      </c>
      <c r="F30" t="s">
        <v>16</v>
      </c>
      <c r="G30" t="str" cm="1">
        <f t="array" aca="1" ref="G30" ca="1">_FV(A30,"Ticker symbol",TRUE)</f>
        <v>SHL</v>
      </c>
      <c r="H30" s="32" cm="1">
        <f t="array" aca="1" ref="H30" ca="1">IFERROR(_FV(A30,"P/E",TRUE),0)</f>
        <v>21.23</v>
      </c>
      <c r="I30" s="34" cm="1">
        <f t="array" aca="1" ref="I30" ca="1">_FV(A30,"Shares outstanding",TRUE)</f>
        <v>1128000000</v>
      </c>
      <c r="J30" s="32" cm="1">
        <f t="array" aca="1" ref="J30" ca="1">_FV(A30,"Beta")</f>
        <v>0.88339999999999996</v>
      </c>
    </row>
    <row r="31" spans="1:10" x14ac:dyDescent="0.3">
      <c r="A31" t="e" vm="54">
        <v>#VALUE!</v>
      </c>
      <c r="B31" s="77" cm="1">
        <f t="array" aca="1" ref="B31" ca="1">_FV(A31,"Price")</f>
        <v>26.15</v>
      </c>
      <c r="C31" s="78" cm="1">
        <f t="array" aca="1" ref="C31" ca="1">_FV(A31,"Market cap",TRUE)</f>
        <v>24689270000</v>
      </c>
      <c r="D31" s="68" cm="1">
        <f t="array" aca="1" ref="D31" ca="1">_FV(A31,"Change (%)",TRUE)</f>
        <v>-1.8762000000000001E-2</v>
      </c>
      <c r="E31" t="str" cm="1">
        <f t="array" aca="1" ref="E31" ca="1">_FV(A31,"Industry")</f>
        <v>Healthcare Equipment &amp; Supplies</v>
      </c>
      <c r="F31" t="s">
        <v>16</v>
      </c>
      <c r="G31" t="str" cm="1">
        <f t="array" aca="1" ref="G31" ca="1">_FV(A31,"Ticker symbol",TRUE)</f>
        <v>PHIA</v>
      </c>
      <c r="H31" s="32" cm="1">
        <f t="array" aca="1" ref="H31" ca="1">IFERROR(_FV(A31,"P/E",TRUE),0)</f>
        <v>28.052600000000002</v>
      </c>
      <c r="I31" s="34" cm="1">
        <f t="array" aca="1" ref="I31" ca="1">_FV(A31,"Shares outstanding",TRUE)</f>
        <v>962930100</v>
      </c>
      <c r="J31" s="32" cm="1">
        <f t="array" aca="1" ref="J31" ca="1">_FV(A31,"Beta")</f>
        <v>0.7087</v>
      </c>
    </row>
    <row r="32" spans="1:10" x14ac:dyDescent="0.3">
      <c r="A32" t="e" vm="55">
        <v>#VALUE!</v>
      </c>
      <c r="B32" s="77" cm="1">
        <f t="array" aca="1" ref="B32" ca="1">_FV(A32,"Price")</f>
        <v>77.62</v>
      </c>
      <c r="C32" s="78" cm="1">
        <f t="array" aca="1" ref="C32" ca="1">_FV(A32,"Market cap",TRUE)</f>
        <v>98169920000</v>
      </c>
      <c r="D32" s="68" cm="1">
        <f t="array" aca="1" ref="D32" ca="1">_FV(A32,"Change (%)",TRUE)</f>
        <v>-1.8710000000000001E-2</v>
      </c>
      <c r="E32" t="str" cm="1">
        <f t="array" aca="1" ref="E32" ca="1">_FV(A32,"Industry")</f>
        <v>Pharmaceuticals</v>
      </c>
      <c r="F32" t="s">
        <v>16</v>
      </c>
      <c r="G32" t="str" cm="1">
        <f t="array" aca="1" ref="G32" ca="1">_FV(A32,"Ticker symbol",TRUE)</f>
        <v>SAN</v>
      </c>
      <c r="H32" s="32" cm="1">
        <f t="array" aca="1" ref="H32" ca="1">IFERROR(_FV(A32,"P/E",TRUE),0)</f>
        <v>12.383800000000001</v>
      </c>
      <c r="I32" s="34" cm="1">
        <f t="array" aca="1" ref="I32" ca="1">_FV(A32,"Shares outstanding",TRUE)</f>
        <v>1219502000</v>
      </c>
      <c r="J32" s="32" cm="1">
        <f t="array" aca="1" ref="J32" ca="1">_FV(A32,"Beta")</f>
        <v>0.60740000000000005</v>
      </c>
    </row>
    <row r="33" spans="1:10" x14ac:dyDescent="0.3">
      <c r="A33" t="e" vm="56">
        <v>#VALUE!</v>
      </c>
      <c r="B33" s="77" cm="1">
        <f t="array" aca="1" ref="B33" ca="1">_FV(A33,"Price")</f>
        <v>9.9969999999999999</v>
      </c>
      <c r="C33" s="78" cm="1">
        <f t="array" aca="1" ref="C33" ca="1">_FV(A33,"Market cap",TRUE)</f>
        <v>151858200000</v>
      </c>
      <c r="D33" s="68" cm="1">
        <f t="array" aca="1" ref="D33" ca="1">_FV(A33,"Change (%)",TRUE)</f>
        <v>-2.3157999999999998E-2</v>
      </c>
      <c r="E33" t="str" cm="1">
        <f t="array" aca="1" ref="E33" ca="1">_FV(A33,"Industry")</f>
        <v>Banking Services</v>
      </c>
      <c r="F33" t="s">
        <v>9</v>
      </c>
      <c r="G33" t="str" cm="1">
        <f t="array" aca="1" ref="G33" ca="1">_FV(A33,"Ticker symbol",TRUE)</f>
        <v>SAN</v>
      </c>
      <c r="H33" s="32" cm="1">
        <f t="array" aca="1" ref="H33" ca="1">IFERROR(_FV(A33,"P/E",TRUE),0)</f>
        <v>10.65</v>
      </c>
      <c r="I33" s="34" cm="1">
        <f t="array" aca="1" ref="I33" ca="1">_FV(A33,"Shares outstanding",TRUE)</f>
        <v>14689320000</v>
      </c>
      <c r="J33" s="32" cm="1">
        <f t="array" aca="1" ref="J33" ca="1">_FV(A33,"Beta")</f>
        <v>1.4825999999999999</v>
      </c>
    </row>
    <row r="34" spans="1:10" x14ac:dyDescent="0.3">
      <c r="A34" t="e" vm="57">
        <v>#VALUE!</v>
      </c>
      <c r="B34" s="77" cm="1">
        <f t="array" aca="1" ref="B34" ca="1">_FV(A34,"Price")</f>
        <v>8.5</v>
      </c>
      <c r="C34" s="78" cm="1">
        <f t="array" aca="1" ref="C34" ca="1">_FV(A34,"Market cap",TRUE)</f>
        <v>55050500000</v>
      </c>
      <c r="D34" s="68" cm="1">
        <f t="array" aca="1" ref="D34" ca="1">_FV(A34,"Change (%)",TRUE)</f>
        <v>-5.5556000000000001E-2</v>
      </c>
      <c r="E34" t="str" cm="1">
        <f t="array" aca="1" ref="E34" ca="1">_FV(A34,"Industry")</f>
        <v>Freight &amp; Logistics Services</v>
      </c>
      <c r="F34" t="s">
        <v>13</v>
      </c>
      <c r="G34" t="str" cm="1">
        <f t="array" aca="1" ref="G34" ca="1">_FV(A34,"Ticker symbol",TRUE)</f>
        <v>DPW</v>
      </c>
      <c r="H34" s="32" cm="1">
        <f t="array" ref="H34">IFERROR(_FV(A34,"P/E",TRUE),0)</f>
        <v>0</v>
      </c>
      <c r="I34" s="34" cm="1">
        <f t="array" aca="1" ref="I34" ca="1">_FV(A34,"Shares outstanding",TRUE)</f>
        <v>1150000000</v>
      </c>
      <c r="J34" s="32" cm="1">
        <f t="array" aca="1" ref="J34" ca="1">_FV(A34,"Beta")</f>
        <v>1.2170000000000001</v>
      </c>
    </row>
    <row r="35" spans="1:10" x14ac:dyDescent="0.3">
      <c r="A35" t="e" vm="58">
        <v>#VALUE!</v>
      </c>
      <c r="B35" s="77" cm="1">
        <f t="array" aca="1" ref="B35" ca="1">_FV(A35,"Price")</f>
        <v>332.8</v>
      </c>
      <c r="C35" s="78" cm="1">
        <f t="array" aca="1" ref="C35" ca="1">_FV(A35,"Market cap",TRUE)</f>
        <v>136296700000</v>
      </c>
      <c r="D35" s="68" cm="1">
        <f t="array" aca="1" ref="D35" ca="1">_FV(A35,"Change (%)",TRUE)</f>
        <v>8.2980999999999999E-2</v>
      </c>
      <c r="E35" t="str" cm="1">
        <f t="array" aca="1" ref="E35" ca="1">_FV(A35,"Industry")</f>
        <v>Aerospace &amp; Defense</v>
      </c>
      <c r="F35" t="s">
        <v>13</v>
      </c>
      <c r="G35" t="str" cm="1">
        <f t="array" aca="1" ref="G35" ca="1">_FV(A35,"Ticker symbol",TRUE)</f>
        <v>SAF</v>
      </c>
      <c r="H35" s="32" cm="1">
        <f t="array" aca="1" ref="H35" ca="1">IFERROR(_FV(A35,"P/E",TRUE),0)</f>
        <v>29.8521</v>
      </c>
      <c r="I35" s="34" cm="1">
        <f t="array" aca="1" ref="I35" ca="1">_FV(A35,"Shares outstanding",TRUE)</f>
        <v>418344600</v>
      </c>
      <c r="J35" s="32" cm="1">
        <f t="array" aca="1" ref="J35" ca="1">_FV(A35,"Beta")</f>
        <v>1.0873999999999999</v>
      </c>
    </row>
    <row r="36" spans="1:10" x14ac:dyDescent="0.3">
      <c r="A36" t="e" vm="59">
        <v>#VALUE!</v>
      </c>
      <c r="B36" s="77" cm="1">
        <f t="array" aca="1" ref="B36" ca="1">_FV(A36,"Price")</f>
        <v>90.86</v>
      </c>
      <c r="C36" s="78" cm="1">
        <f t="array" aca="1" ref="C36" ca="1">_FV(A36,"Market cap",TRUE)</f>
        <v>41397000000</v>
      </c>
      <c r="D36" s="68" cm="1">
        <f t="array" aca="1" ref="D36" ca="1">_FV(A36,"Change (%)",TRUE)</f>
        <v>1.4289000000000001E-2</v>
      </c>
      <c r="E36" t="str" cm="1">
        <f t="array" aca="1" ref="E36" ca="1">_FV(A36,"Industry")</f>
        <v>Homebuilding &amp; Construction Supplies</v>
      </c>
      <c r="F36" t="s">
        <v>13</v>
      </c>
      <c r="G36" t="str" cm="1">
        <f t="array" aca="1" ref="G36" ca="1">_FV(A36,"Ticker symbol",TRUE)</f>
        <v>SGO</v>
      </c>
      <c r="H36" s="32" cm="1">
        <f t="array" aca="1" ref="H36" ca="1">IFERROR(_FV(A36,"P/E",TRUE),0)</f>
        <v>15.8001</v>
      </c>
      <c r="I36" s="34" cm="1">
        <f t="array" aca="1" ref="I36" ca="1">_FV(A36,"Shares outstanding",TRUE)</f>
        <v>494825300</v>
      </c>
      <c r="J36" s="32" cm="1">
        <f t="array" aca="1" ref="J36" ca="1">_FV(A36,"Beta")</f>
        <v>1.3903000000000001</v>
      </c>
    </row>
    <row r="37" spans="1:10" x14ac:dyDescent="0.3">
      <c r="A37" t="e" vm="60">
        <v>#VALUE!</v>
      </c>
      <c r="B37" s="77" cm="1">
        <f t="array" aca="1" ref="B37" ca="1">_FV(A37,"Price")</f>
        <v>250.9</v>
      </c>
      <c r="C37" s="78" cm="1">
        <f t="array" aca="1" ref="C37" ca="1">_FV(A37,"Market cap",TRUE)</f>
        <v>209400000000</v>
      </c>
      <c r="D37" s="68" cm="1">
        <f t="array" aca="1" ref="D37" ca="1">_FV(A37,"Change (%)",TRUE)</f>
        <v>-3.8512999999999999E-2</v>
      </c>
      <c r="E37" t="str" cm="1">
        <f t="array" aca="1" ref="E37" ca="1">_FV(A37,"Industry")</f>
        <v>Machinery, Equipment &amp; Components</v>
      </c>
      <c r="F37" t="s">
        <v>13</v>
      </c>
      <c r="G37" t="str" cm="1">
        <f t="array" aca="1" ref="G37" ca="1">_FV(A37,"Ticker symbol",TRUE)</f>
        <v>SIE</v>
      </c>
      <c r="H37" s="32" cm="1">
        <f t="array" aca="1" ref="H37" ca="1">IFERROR(_FV(A37,"P/E",TRUE),0)</f>
        <v>26.55</v>
      </c>
      <c r="I37" s="34" cm="1">
        <f t="array" aca="1" ref="I37" ca="1">_FV(A37,"Shares outstanding",TRUE)</f>
        <v>800000000</v>
      </c>
      <c r="J37" s="32" cm="1">
        <f t="array" aca="1" ref="J37" ca="1">_FV(A37,"Beta")</f>
        <v>1.3513999999999999</v>
      </c>
    </row>
    <row r="38" spans="1:10" x14ac:dyDescent="0.3">
      <c r="A38" t="e" vm="61">
        <v>#VALUE!</v>
      </c>
      <c r="B38" s="77" cm="1">
        <f t="array" aca="1" ref="B38" ca="1">_FV(A38,"Price")</f>
        <v>135.30000000000001</v>
      </c>
      <c r="C38" s="78" cm="1">
        <f t="array" aca="1" ref="C38" ca="1">_FV(A38,"Market cap",TRUE)</f>
        <v>67810750000</v>
      </c>
      <c r="D38" s="68" cm="1">
        <f t="array" aca="1" ref="D38" ca="1">_FV(A38,"Change (%)",TRUE)</f>
        <v>9.7009999999999996E-3</v>
      </c>
      <c r="E38" t="str" cm="1">
        <f t="array" aca="1" ref="E38" ca="1">_FV(A38,"Industry")</f>
        <v>Construction &amp; Engineering</v>
      </c>
      <c r="F38" t="s">
        <v>13</v>
      </c>
      <c r="G38" t="str" cm="1">
        <f t="array" aca="1" ref="G38" ca="1">_FV(A38,"Ticker symbol",TRUE)</f>
        <v>DG</v>
      </c>
      <c r="H38" s="32" cm="1">
        <f t="array" aca="1" ref="H38" ca="1">IFERROR(_FV(A38,"P/E",TRUE),0)</f>
        <v>15.2963</v>
      </c>
      <c r="I38" s="34" cm="1">
        <f t="array" aca="1" ref="I38" ca="1">_FV(A38,"Shares outstanding",TRUE)</f>
        <v>582257300</v>
      </c>
      <c r="J38" s="32" cm="1">
        <f t="array" aca="1" ref="J38" ca="1">_FV(A38,"Beta")</f>
        <v>0.90369999999999995</v>
      </c>
    </row>
    <row r="39" spans="1:10" x14ac:dyDescent="0.3">
      <c r="A39" t="e" vm="62">
        <v>#VALUE!</v>
      </c>
      <c r="B39" s="77" cm="1">
        <f t="array" aca="1" ref="B39" ca="1">_FV(A39,"Price")</f>
        <v>262.89999999999998</v>
      </c>
      <c r="C39" s="78" cm="1">
        <f t="array" aca="1" ref="C39" ca="1">_FV(A39,"Market cap",TRUE)</f>
        <v>137614900000</v>
      </c>
      <c r="D39" s="68" cm="1">
        <f t="array" aca="1" ref="D39" ca="1">_FV(A39,"Change (%)",TRUE)</f>
        <v>-9.4199999999999996E-3</v>
      </c>
      <c r="E39" t="str" cm="1">
        <f t="array" aca="1" ref="E39" ca="1">_FV(A39,"Industry")</f>
        <v>Machinery, Equipment &amp; Components</v>
      </c>
      <c r="F39" t="s">
        <v>12</v>
      </c>
      <c r="G39" t="str" cm="1">
        <f t="array" aca="1" ref="G39" ca="1">_FV(A39,"Ticker symbol",TRUE)</f>
        <v>SU</v>
      </c>
      <c r="H39" s="32" cm="1">
        <f t="array" aca="1" ref="H39" ca="1">IFERROR(_FV(A39,"P/E",TRUE),0)</f>
        <v>34.636200000000002</v>
      </c>
      <c r="I39" s="34" cm="1">
        <f t="array" aca="1" ref="I39" ca="1">_FV(A39,"Shares outstanding",TRUE)</f>
        <v>577122500</v>
      </c>
      <c r="J39" s="32" cm="1">
        <f t="array" aca="1" ref="J39" ca="1">_FV(A39,"Beta")</f>
        <v>1.2541</v>
      </c>
    </row>
    <row r="40" spans="1:10" x14ac:dyDescent="0.3">
      <c r="A40" t="e" vm="63">
        <v>#VALUE!</v>
      </c>
      <c r="B40" s="77" cm="1">
        <f t="array" aca="1" ref="B40" ca="1">_FV(A40,"Price")</f>
        <v>172</v>
      </c>
      <c r="C40" s="78" cm="1">
        <f t="array" aca="1" ref="C40" ca="1">_FV(A40,"Market cap",TRUE)</f>
        <v>262224200000</v>
      </c>
      <c r="D40" s="68" cm="1">
        <f t="array" aca="1" ref="D40" ca="1">_FV(A40,"Change (%)",TRUE)</f>
        <v>1.7150000000000002E-2</v>
      </c>
      <c r="E40" t="str" cm="1">
        <f t="array" aca="1" ref="E40" ca="1">_FV(A40,"Industry")</f>
        <v>Software &amp; IT Services</v>
      </c>
      <c r="F40" t="s">
        <v>12</v>
      </c>
      <c r="G40" t="str" cm="1">
        <f t="array" aca="1" ref="G40" ca="1">_FV(A40,"Ticker symbol",TRUE)</f>
        <v>SAP</v>
      </c>
      <c r="H40" s="32" cm="1">
        <f t="array" aca="1" ref="H40" ca="1">IFERROR(_FV(A40,"P/E",TRUE),0)</f>
        <v>26.99</v>
      </c>
      <c r="I40" s="34" cm="1">
        <f t="array" aca="1" ref="I40" ca="1">_FV(A40,"Shares outstanding",TRUE)</f>
        <v>1228504000</v>
      </c>
      <c r="J40" s="32" cm="1">
        <f t="array" aca="1" ref="J40" ca="1">_FV(A40,"Beta")</f>
        <v>1.0719000000000001</v>
      </c>
    </row>
    <row r="41" spans="1:10" x14ac:dyDescent="0.3">
      <c r="A41" t="e" vm="64">
        <v>#VALUE!</v>
      </c>
      <c r="B41" s="77" cm="1">
        <f t="array" aca="1" ref="B41" ca="1">_FV(A41,"Price")</f>
        <v>1.3554999999999999</v>
      </c>
      <c r="C41" s="78" cm="1">
        <f t="array" aca="1" ref="C41" ca="1">_FV(A41,"Market cap",TRUE)</f>
        <v>449177500</v>
      </c>
      <c r="D41" s="68" cm="1">
        <f t="array" aca="1" ref="D41" ca="1">_FV(A41,"Change (%)",TRUE)</f>
        <v>1.0436000000000001E-2</v>
      </c>
      <c r="E41" t="str" cm="1">
        <f t="array" aca="1" ref="E41" ca="1">_FV(A41,"Industry")</f>
        <v>Financial Technology (Fintech) &amp; Infrastructure</v>
      </c>
      <c r="F41" t="s">
        <v>12</v>
      </c>
      <c r="G41" t="str" cm="1">
        <f t="array" aca="1" ref="G41" ca="1">_FV(A41,"Ticker symbol",TRUE)</f>
        <v>WLN</v>
      </c>
      <c r="H41" s="32" cm="1">
        <f t="array" aca="1" ref="H41" ca="1">IFERROR(_FV(A41,"P/E",TRUE),0)</f>
        <v>0</v>
      </c>
      <c r="I41" s="34" cm="1">
        <f t="array" aca="1" ref="I41" ca="1">_FV(A41,"Shares outstanding",TRUE)</f>
        <v>283964200</v>
      </c>
      <c r="J41" s="32" cm="1">
        <f t="array" aca="1" ref="J41" ca="1">_FV(A41,"Beta")</f>
        <v>1.4112</v>
      </c>
    </row>
    <row r="42" spans="1:10" x14ac:dyDescent="0.3">
      <c r="A42" t="e" vm="65">
        <v>#VALUE!</v>
      </c>
      <c r="B42" s="77" cm="1">
        <f t="array" aca="1" ref="B42" ca="1">_FV(A42,"Price")</f>
        <v>50.8</v>
      </c>
      <c r="C42" s="78" cm="1">
        <f t="array" aca="1" ref="C42" ca="1">_FV(A42,"Market cap",TRUE)</f>
        <v>39788640000</v>
      </c>
      <c r="D42" s="68" cm="1">
        <f t="array" aca="1" ref="D42" ca="1">_FV(A42,"Change (%)",TRUE)</f>
        <v>-8.199999999999999E-3</v>
      </c>
      <c r="E42" t="str" cm="1">
        <f t="array" aca="1" ref="E42" ca="1">_FV(A42,"Industry")</f>
        <v>Chemicals</v>
      </c>
      <c r="F42" t="s">
        <v>14</v>
      </c>
      <c r="G42" t="str" cm="1">
        <f t="array" aca="1" ref="G42" ca="1">_FV(A42,"Ticker symbol",TRUE)</f>
        <v>BAS</v>
      </c>
      <c r="H42" s="32" cm="1">
        <f t="array" aca="1" ref="H42" ca="1">IFERROR(_FV(A42,"P/E",TRUE),0)</f>
        <v>186.41</v>
      </c>
      <c r="I42" s="34" cm="1">
        <f t="array" aca="1" ref="I42" ca="1">_FV(A42,"Shares outstanding",TRUE)</f>
        <v>892522200</v>
      </c>
      <c r="J42" s="32" cm="1">
        <f t="array" aca="1" ref="J42" ca="1">_FV(A42,"Beta")</f>
        <v>1.0471999999999999</v>
      </c>
    </row>
    <row r="43" spans="1:10" x14ac:dyDescent="0.3">
      <c r="A43" t="e" vm="66">
        <v>#VALUE!</v>
      </c>
      <c r="B43" s="77" cm="1">
        <f t="array" aca="1" ref="B43" ca="1">_FV(A43,"Price")</f>
        <v>26.12</v>
      </c>
      <c r="C43" s="78" cm="1">
        <f t="array" aca="1" ref="C43" ca="1">_FV(A43,"Market cap",TRUE)</f>
        <v>21451390000</v>
      </c>
      <c r="D43" s="68" cm="1">
        <f t="array" aca="1" ref="D43" ca="1">_FV(A43,"Change (%)",TRUE)</f>
        <v>-4.1939999999999998E-3</v>
      </c>
      <c r="E43" t="str" cm="1">
        <f t="array" aca="1" ref="E43" ca="1">_FV(A43,"Industry")</f>
        <v>Real Estate Operations</v>
      </c>
      <c r="F43" t="s">
        <v>10</v>
      </c>
      <c r="G43" t="str" cm="1">
        <f t="array" aca="1" ref="G43" ca="1">_FV(A43,"Ticker symbol",TRUE)</f>
        <v>VNA</v>
      </c>
      <c r="H43" s="32" cm="1">
        <f t="array" aca="1" ref="H43" ca="1">IFERROR(_FV(A43,"P/E",TRUE),0)</f>
        <v>8.07</v>
      </c>
      <c r="I43" s="34" cm="1">
        <f t="array" aca="1" ref="I43" ca="1">_FV(A43,"Shares outstanding",TRUE)</f>
        <v>848258800</v>
      </c>
      <c r="J43" s="32" cm="1">
        <f t="array" aca="1" ref="J43" ca="1">_FV(A43,"Beta")</f>
        <v>1.1442000000000001</v>
      </c>
    </row>
    <row r="44" spans="1:10" x14ac:dyDescent="0.3">
      <c r="A44" t="e" vm="67">
        <v>#VALUE!</v>
      </c>
      <c r="B44" s="77" cm="1">
        <f t="array" aca="1" ref="B44" ca="1">_FV(A44,"Price")</f>
        <v>26.09</v>
      </c>
      <c r="C44" s="78" cm="1">
        <f t="array" aca="1" ref="C44" ca="1">_FV(A44,"Market cap",TRUE)</f>
        <v>56985670000</v>
      </c>
      <c r="D44" s="68" cm="1">
        <f t="array" aca="1" ref="D44" ca="1">_FV(A44,"Change (%)",TRUE)</f>
        <v>-1.1368E-2</v>
      </c>
      <c r="E44" t="str" cm="1">
        <f t="array" aca="1" ref="E44" ca="1">_FV(A44,"Industry")</f>
        <v>Multiline Utilities</v>
      </c>
      <c r="F44" t="s">
        <v>19</v>
      </c>
      <c r="G44" t="str" cm="1">
        <f t="array" aca="1" ref="G44" ca="1">_FV(A44,"Ticker symbol",TRUE)</f>
        <v>ENGI</v>
      </c>
      <c r="H44" s="32" cm="1">
        <f t="array" aca="1" ref="H44" ca="1">IFERROR(_FV(A44,"P/E",TRUE),0)</f>
        <v>12.9185</v>
      </c>
      <c r="I44" s="34" cm="1">
        <f t="array" aca="1" ref="I44" ca="1">_FV(A44,"Shares outstanding",TRUE)</f>
        <v>2435285000</v>
      </c>
      <c r="J44" s="32" cm="1">
        <f t="array" aca="1" ref="J44" ca="1">_FV(A44,"Beta")</f>
        <v>0.68559999999999999</v>
      </c>
    </row>
    <row r="45" spans="1:10" x14ac:dyDescent="0.3">
      <c r="A45" t="e" vm="68">
        <v>#VALUE!</v>
      </c>
      <c r="B45" s="77" cm="1">
        <f t="array" aca="1" ref="B45" ca="1">_FV(A45,"Price")</f>
        <v>19.385000000000002</v>
      </c>
      <c r="C45" s="78" cm="1">
        <f t="array" aca="1" ref="C45" ca="1">_FV(A45,"Market cap",TRUE)</f>
        <v>123602700000</v>
      </c>
      <c r="D45" s="68" cm="1">
        <f t="array" aca="1" ref="D45" ca="1">_FV(A45,"Change (%)",TRUE)</f>
        <v>-1.2880000000000001E-3</v>
      </c>
      <c r="E45" t="str" cm="1">
        <f t="array" aca="1" ref="E45" ca="1">_FV(A45,"Industry")</f>
        <v>Electrical Utilities &amp; IPPs</v>
      </c>
      <c r="F45" t="s">
        <v>19</v>
      </c>
      <c r="G45" t="str" cm="1">
        <f t="array" aca="1" ref="G45" ca="1">_FV(A45,"Ticker symbol",TRUE)</f>
        <v>IBE</v>
      </c>
      <c r="H45" s="32" cm="1">
        <f t="array" aca="1" ref="H45" ca="1">IFERROR(_FV(A45,"P/E",TRUE),0)</f>
        <v>24.41</v>
      </c>
      <c r="I45" s="34" cm="1">
        <f t="array" aca="1" ref="I45" ca="1">_FV(A45,"Shares outstanding",TRUE)</f>
        <v>6757846000</v>
      </c>
      <c r="J45" s="32" cm="1">
        <f t="array" aca="1" ref="J45" ca="1">_FV(A45,"Beta")</f>
        <v>0.67789999999999995</v>
      </c>
    </row>
    <row r="46" spans="1:10" x14ac:dyDescent="0.3">
      <c r="A46" t="e" vm="69">
        <v>#VALUE!</v>
      </c>
      <c r="B46" s="77" cm="1">
        <f t="array" aca="1" ref="B46" ca="1">_FV(A46,"Price")</f>
        <v>98.32</v>
      </c>
      <c r="C46" s="78" cm="1">
        <f t="array" aca="1" ref="C46" ca="1">_FV(A46,"Market cap",TRUE)</f>
        <v>7236072000</v>
      </c>
      <c r="D46" s="68" cm="1">
        <f t="array" aca="1" ref="D46" ca="1">_FV(A46,"Change (%)",TRUE)</f>
        <v>-3.7494E-2</v>
      </c>
      <c r="E46" t="str" cm="1">
        <f t="array" aca="1" ref="E46" ca="1">_FV(A46,"Industry")</f>
        <v>Electrical Utilities &amp; IPPs</v>
      </c>
      <c r="F46" t="s">
        <v>19</v>
      </c>
      <c r="G46" t="str" cm="1">
        <f t="array" aca="1" ref="G46" ca="1">_FV(A46,"Ticker symbol",TRUE)</f>
        <v>ORAT</v>
      </c>
      <c r="H46" s="32" cm="1">
        <f t="array" aca="1" ref="H46" ca="1">IFERROR(_FV(A46,"P/E",TRUE),0)</f>
        <v>54.82</v>
      </c>
      <c r="I46" s="34" cm="1">
        <f t="array" aca="1" ref="I46" ca="1">_FV(A46,"Shares outstanding",TRUE)</f>
        <v>60781790</v>
      </c>
      <c r="J46" s="32" cm="1">
        <f t="array" aca="1" ref="J46" ca="1">_FV(A46,"Beta")</f>
        <v>0.81520000000000004</v>
      </c>
    </row>
  </sheetData>
  <autoFilter ref="A1:H46" xr:uid="{00000000-0009-0000-0000-00001A000000}">
    <sortState xmlns:xlrd2="http://schemas.microsoft.com/office/spreadsheetml/2017/richdata2" ref="A2:H46">
      <sortCondition ref="F1:F46"/>
    </sortState>
  </autoFilter>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2060"/>
  </sheetPr>
  <dimension ref="A1:J52"/>
  <sheetViews>
    <sheetView topLeftCell="A28" workbookViewId="0">
      <selection activeCell="A52" sqref="A52"/>
    </sheetView>
  </sheetViews>
  <sheetFormatPr defaultRowHeight="14.4" x14ac:dyDescent="0.3"/>
  <cols>
    <col min="1" max="1" width="46.88671875" bestFit="1" customWidth="1"/>
    <col min="2" max="2" width="7.88671875" bestFit="1" customWidth="1"/>
    <col min="3" max="3" width="17.6640625" bestFit="1" customWidth="1"/>
    <col min="4" max="4" width="9" bestFit="1" customWidth="1"/>
    <col min="5" max="5" width="37.88671875" bestFit="1" customWidth="1"/>
    <col min="6" max="6" width="21.109375" bestFit="1" customWidth="1"/>
    <col min="7" max="7" width="5.88671875" bestFit="1" customWidth="1"/>
    <col min="8" max="8" width="6.5546875" bestFit="1" customWidth="1"/>
    <col min="9" max="9" width="16.88671875" bestFit="1" customWidth="1"/>
  </cols>
  <sheetData>
    <row r="1" spans="1:10" x14ac:dyDescent="0.3">
      <c r="A1" s="1" t="s">
        <v>232</v>
      </c>
      <c r="B1" s="1" t="s">
        <v>223</v>
      </c>
      <c r="C1" s="1" t="s">
        <v>224</v>
      </c>
      <c r="D1" s="1" t="s">
        <v>226</v>
      </c>
      <c r="E1" s="1" t="s">
        <v>227</v>
      </c>
      <c r="F1" s="1" t="s">
        <v>7</v>
      </c>
      <c r="G1" s="1" t="s">
        <v>231</v>
      </c>
      <c r="H1" s="1" t="s">
        <v>228</v>
      </c>
      <c r="I1" s="1" t="s">
        <v>261</v>
      </c>
      <c r="J1" s="1" t="s">
        <v>225</v>
      </c>
    </row>
    <row r="2" spans="1:10" x14ac:dyDescent="0.3">
      <c r="A2" t="e" vm="70">
        <v>#VALUE!</v>
      </c>
      <c r="B2" s="77" cm="1">
        <f t="array" aca="1" ref="B2" ca="1">_FV(A2,"Price")</f>
        <v>182.81</v>
      </c>
      <c r="C2" s="78" cm="1">
        <f t="array" aca="1" ref="C2" ca="1">_FV(A2,"Market cap",TRUE)</f>
        <v>4442283000000</v>
      </c>
      <c r="D2" s="68" cm="1">
        <f t="array" aca="1" ref="D2" ca="1">_FV(A2,"Change (%)",TRUE)</f>
        <v>-2.2092999999999998E-2</v>
      </c>
      <c r="E2" t="str" cm="1">
        <f t="array" aca="1" ref="E2" ca="1">_FV(A2,"Industry")</f>
        <v>Semiconductors &amp; Semiconductor Equipment</v>
      </c>
      <c r="F2" t="s">
        <v>12</v>
      </c>
      <c r="G2" t="str" cm="1">
        <f t="array" aca="1" ref="G2" ca="1">_FV(A2,"Ticker symbol",TRUE)</f>
        <v>NVDA</v>
      </c>
      <c r="H2" s="32" cm="1">
        <f t="array" aca="1" ref="H2" ca="1">IFERROR(_FV(A2,"P/E",TRUE),0)</f>
        <v>46.301499999999997</v>
      </c>
      <c r="I2" s="34" cm="1">
        <f t="array" aca="1" ref="I2" ca="1">_FV(A2,"Shares outstanding",TRUE)</f>
        <v>24300000000</v>
      </c>
      <c r="J2" s="32" cm="1">
        <f t="array" aca="1" ref="J2" ca="1">_FV(A2,"Beta")</f>
        <v>2.3235000000000001</v>
      </c>
    </row>
    <row r="3" spans="1:10" x14ac:dyDescent="0.3">
      <c r="A3" t="e" vm="71">
        <v>#VALUE!</v>
      </c>
      <c r="B3" s="77" cm="1">
        <f t="array" aca="1" ref="B3" ca="1">_FV(A3,"Price")</f>
        <v>417.44</v>
      </c>
      <c r="C3" s="78" cm="1">
        <f t="array" aca="1" ref="C3" ca="1">_FV(A3,"Market cap",TRUE)</f>
        <v>1566415214080</v>
      </c>
      <c r="D3" s="68" cm="1">
        <f t="array" aca="1" ref="D3" ca="1">_FV(A3,"Change (%)",TRUE)</f>
        <v>8.8709999999999993E-4</v>
      </c>
      <c r="E3" t="str" cm="1">
        <f t="array" aca="1" ref="E3" ca="1">_FV(A3,"Industry")</f>
        <v>Automobiles &amp; Auto Parts</v>
      </c>
      <c r="F3" t="s">
        <v>11</v>
      </c>
      <c r="G3" t="str" cm="1">
        <f t="array" aca="1" ref="G3" ca="1">_FV(A3,"Ticker symbol",TRUE)</f>
        <v>TSLA</v>
      </c>
      <c r="H3" s="32" cm="1">
        <f t="array" aca="1" ref="H3" ca="1">IFERROR(_FV(A3,"P/E",TRUE),0)</f>
        <v>387.82780000000002</v>
      </c>
      <c r="I3" s="34" cm="1">
        <f t="array" aca="1" ref="I3" ca="1">_FV(A3,"Shares outstanding",TRUE)</f>
        <v>3752432000</v>
      </c>
      <c r="J3" s="32" cm="1">
        <f t="array" aca="1" ref="J3" ca="1">_FV(A3,"Beta")</f>
        <v>1.8894</v>
      </c>
    </row>
    <row r="4" spans="1:10" x14ac:dyDescent="0.3">
      <c r="A4" t="e" vm="72">
        <v>#VALUE!</v>
      </c>
      <c r="B4" s="77" cm="1">
        <f t="array" aca="1" ref="B4" ca="1">_FV(A4,"Price")</f>
        <v>76.87</v>
      </c>
      <c r="C4" s="78" cm="1">
        <f t="array" aca="1" ref="C4" ca="1">_FV(A4,"Market cap",TRUE)</f>
        <v>324557592940</v>
      </c>
      <c r="D4" s="68" cm="1">
        <f t="array" aca="1" ref="D4" ca="1">_FV(A4,"Change (%)",TRUE)</f>
        <v>1.3313999999999999E-2</v>
      </c>
      <c r="E4" t="str" cm="1">
        <f t="array" aca="1" ref="E4" ca="1">_FV(A4,"Industry")</f>
        <v>Software &amp; IT Services</v>
      </c>
      <c r="F4" t="s">
        <v>143</v>
      </c>
      <c r="G4" t="str" cm="1">
        <f t="array" aca="1" ref="G4" ca="1">_FV(A4,"Ticker symbol",TRUE)</f>
        <v>NFLX</v>
      </c>
      <c r="H4" s="32" cm="1">
        <f t="array" aca="1" ref="H4" ca="1">IFERROR(_FV(A4,"P/E",TRUE),0)</f>
        <v>30.017700000000001</v>
      </c>
      <c r="I4" s="34" cm="1">
        <f t="array" aca="1" ref="I4" ca="1">_FV(A4,"Shares outstanding",TRUE)</f>
        <v>4222162000</v>
      </c>
      <c r="J4" s="32" cm="1">
        <f t="array" aca="1" ref="J4" ca="1">_FV(A4,"Beta")</f>
        <v>1.7246999999999999</v>
      </c>
    </row>
    <row r="5" spans="1:10" x14ac:dyDescent="0.3">
      <c r="A5" t="e" vm="73">
        <v>#VALUE!</v>
      </c>
      <c r="B5" s="77" cm="1">
        <f t="array" aca="1" ref="B5" ca="1">_FV(A5,"Price")</f>
        <v>160.11000000000001</v>
      </c>
      <c r="C5" s="78" cm="1">
        <f t="array" aca="1" ref="C5" ca="1">_FV(A5,"Market cap",TRUE)</f>
        <v>460016844300</v>
      </c>
      <c r="D5" s="68" cm="1">
        <f t="array" aca="1" ref="D5" ca="1">_FV(A5,"Change (%)",TRUE)</f>
        <v>2.3198E-2</v>
      </c>
      <c r="E5" t="str" cm="1">
        <f t="array" aca="1" ref="E5" ca="1">_FV(A5,"Industry")</f>
        <v>Software &amp; IT Services</v>
      </c>
      <c r="F5" t="s">
        <v>12</v>
      </c>
      <c r="G5" t="str" cm="1">
        <f t="array" aca="1" ref="G5" ca="1">_FV(A5,"Ticker symbol",TRUE)</f>
        <v>ORCL</v>
      </c>
      <c r="H5" s="32" cm="1">
        <f t="array" aca="1" ref="H5" ca="1">IFERROR(_FV(A5,"P/E",TRUE),0)</f>
        <v>27.689900000000002</v>
      </c>
      <c r="I5" s="34" cm="1">
        <f t="array" aca="1" ref="I5" ca="1">_FV(A5,"Shares outstanding",TRUE)</f>
        <v>2873130000</v>
      </c>
      <c r="J5" s="32" cm="1">
        <f t="array" aca="1" ref="J5" ca="1">_FV(A5,"Beta")</f>
        <v>1.6346000000000001</v>
      </c>
    </row>
    <row r="6" spans="1:10" x14ac:dyDescent="0.3">
      <c r="A6" t="e" vm="74">
        <v>#VALUE!</v>
      </c>
      <c r="B6" s="77" cm="1">
        <f t="array" aca="1" ref="B6" ca="1">_FV(A6,"Price")</f>
        <v>774.66</v>
      </c>
      <c r="C6" s="78" cm="1">
        <f t="array" aca="1" ref="C6" ca="1">_FV(A6,"Market cap",TRUE)</f>
        <v>362525076936</v>
      </c>
      <c r="D6" s="68" cm="1">
        <f t="array" aca="1" ref="D6" ca="1">_FV(A6,"Change (%)",TRUE)</f>
        <v>2.1588E-2</v>
      </c>
      <c r="E6" t="str" cm="1">
        <f t="array" aca="1" ref="E6" ca="1">_FV(A6,"Industry")</f>
        <v>Machinery, Equipment &amp; Components</v>
      </c>
      <c r="F6" t="s">
        <v>13</v>
      </c>
      <c r="G6" t="str" cm="1">
        <f t="array" aca="1" ref="G6" ca="1">_FV(A6,"Ticker symbol",TRUE)</f>
        <v>CAT</v>
      </c>
      <c r="H6" s="32" cm="1">
        <f t="array" aca="1" ref="H6" ca="1">IFERROR(_FV(A6,"P/E",TRUE),0)</f>
        <v>40.277700000000003</v>
      </c>
      <c r="I6" s="34" cm="1">
        <f t="array" aca="1" ref="I6" ca="1">_FV(A6,"Shares outstanding",TRUE)</f>
        <v>467979600</v>
      </c>
      <c r="J6" s="32" cm="1">
        <f t="array" aca="1" ref="J6" ca="1">_FV(A6,"Beta")</f>
        <v>1.5105999999999999</v>
      </c>
    </row>
    <row r="7" spans="1:10" x14ac:dyDescent="0.3">
      <c r="A7" t="e" vm="75">
        <v>#VALUE!</v>
      </c>
      <c r="B7" s="77" cm="1">
        <f t="array" aca="1" ref="B7" ca="1">_FV(A7,"Price")</f>
        <v>263.97000000000003</v>
      </c>
      <c r="C7" s="78" cm="1">
        <f t="array" aca="1" ref="C7" ca="1">_FV(A7,"Market cap",TRUE)</f>
        <v>108359685000</v>
      </c>
      <c r="D7" s="68" cm="1">
        <f t="array" aca="1" ref="D7" ca="1">_FV(A7,"Change (%)",TRUE)</f>
        <v>5.6000000000000008E-3</v>
      </c>
      <c r="E7" t="str" cm="1">
        <f t="array" aca="1" ref="E7" ca="1">_FV(A7,"Industry")</f>
        <v>Software &amp; IT Services</v>
      </c>
      <c r="F7" t="s">
        <v>12</v>
      </c>
      <c r="G7" t="str" cm="1">
        <f t="array" aca="1" ref="G7" ca="1">_FV(A7,"Ticker symbol",TRUE)</f>
        <v>ADBE</v>
      </c>
      <c r="H7" s="32" cm="1">
        <f t="array" aca="1" ref="H7" ca="1">IFERROR(_FV(A7,"P/E",TRUE),0)</f>
        <v>15.7225</v>
      </c>
      <c r="I7" s="34" cm="1">
        <f t="array" aca="1" ref="I7" ca="1">_FV(A7,"Shares outstanding",TRUE)</f>
        <v>410500000</v>
      </c>
      <c r="J7" s="32" cm="1">
        <f t="array" aca="1" ref="J7" ca="1">_FV(A7,"Beta")</f>
        <v>1.5286999999999999</v>
      </c>
    </row>
    <row r="8" spans="1:10" x14ac:dyDescent="0.3">
      <c r="A8" t="e" vm="76">
        <v>#VALUE!</v>
      </c>
      <c r="B8" s="77" cm="1">
        <f t="array" aca="1" ref="B8" ca="1">_FV(A8,"Price")</f>
        <v>105.44</v>
      </c>
      <c r="C8" s="78" cm="1">
        <f t="array" aca="1" ref="C8" ca="1">_FV(A8,"Market cap",TRUE)</f>
        <v>186789068800</v>
      </c>
      <c r="D8" s="68" cm="1">
        <f t="array" aca="1" ref="D8" ca="1">_FV(A8,"Change (%)",TRUE)</f>
        <v>2.9889000000000002E-2</v>
      </c>
      <c r="E8" t="str" cm="1">
        <f t="array" aca="1" ref="E8" ca="1">_FV(A8,"Industry")</f>
        <v>Media &amp; Publishing</v>
      </c>
      <c r="F8" t="s">
        <v>143</v>
      </c>
      <c r="G8" t="str" cm="1">
        <f t="array" aca="1" ref="G8" ca="1">_FV(A8,"Ticker symbol",TRUE)</f>
        <v>DIS</v>
      </c>
      <c r="H8" s="32" cm="1">
        <f t="array" aca="1" ref="H8" ca="1">IFERROR(_FV(A8,"P/E",TRUE),0)</f>
        <v>15.085800000000001</v>
      </c>
      <c r="I8" s="34" cm="1">
        <f t="array" aca="1" ref="I8" ca="1">_FV(A8,"Shares outstanding",TRUE)</f>
        <v>1771520000</v>
      </c>
      <c r="J8" s="32" cm="1">
        <f t="array" aca="1" ref="J8" ca="1">_FV(A8,"Beta")</f>
        <v>1.4248000000000001</v>
      </c>
    </row>
    <row r="9" spans="1:10" x14ac:dyDescent="0.3">
      <c r="A9" t="e" vm="77">
        <v>#VALUE!</v>
      </c>
      <c r="B9" s="77" cm="1">
        <f t="array" aca="1" ref="B9" ca="1">_FV(A9,"Price")</f>
        <v>315.41000000000003</v>
      </c>
      <c r="C9" s="78" cm="1">
        <f t="array" aca="1" ref="C9" ca="1">_FV(A9,"Market cap",TRUE)</f>
        <v>330806423740</v>
      </c>
      <c r="D9" s="68" cm="1">
        <f t="array" aca="1" ref="D9" ca="1">_FV(A9,"Change (%)",TRUE)</f>
        <v>8.0540000000000004E-3</v>
      </c>
      <c r="E9" t="str" cm="1">
        <f t="array" aca="1" ref="E9" ca="1">_FV(A9,"Industry")</f>
        <v>Aerospace &amp; Defense</v>
      </c>
      <c r="F9" t="s">
        <v>13</v>
      </c>
      <c r="G9" t="str" cm="1">
        <f t="array" aca="1" ref="G9" ca="1">_FV(A9,"Ticker symbol",TRUE)</f>
        <v>GE</v>
      </c>
      <c r="H9" s="32" cm="1">
        <f t="array" aca="1" ref="H9" ca="1">IFERROR(_FV(A9,"P/E",TRUE),0)</f>
        <v>38.838200000000001</v>
      </c>
      <c r="I9" s="34" cm="1">
        <f t="array" aca="1" ref="I9" ca="1">_FV(A9,"Shares outstanding",TRUE)</f>
        <v>1048814000</v>
      </c>
      <c r="J9" s="32" cm="1">
        <f t="array" aca="1" ref="J9" ca="1">_FV(A9,"Beta")</f>
        <v>1.3885000000000001</v>
      </c>
    </row>
    <row r="10" spans="1:10" x14ac:dyDescent="0.3">
      <c r="A10" t="e" vm="78">
        <v>#VALUE!</v>
      </c>
      <c r="B10" s="77" cm="1">
        <f t="array" aca="1" ref="B10" ca="1">_FV(A10,"Price")</f>
        <v>46.79</v>
      </c>
      <c r="C10" s="78" cm="1">
        <f t="array" aca="1" ref="C10" ca="1">_FV(A10,"Market cap",TRUE)</f>
        <v>233716050000</v>
      </c>
      <c r="D10" s="68" cm="1">
        <f t="array" aca="1" ref="D10" ca="1">_FV(A10,"Change (%)",TRUE)</f>
        <v>6.6700000000000006E-3</v>
      </c>
      <c r="E10" t="str" cm="1">
        <f t="array" aca="1" ref="E10" ca="1">_FV(A10,"Industry")</f>
        <v>Semiconductors &amp; Semiconductor Equipment</v>
      </c>
      <c r="F10" t="s">
        <v>12</v>
      </c>
      <c r="G10" t="str" cm="1">
        <f t="array" aca="1" ref="G10" ca="1">_FV(A10,"Ticker symbol",TRUE)</f>
        <v>INTC</v>
      </c>
      <c r="H10" s="32" cm="1">
        <f t="array" aca="1" ref="H10" ca="1">IFERROR(_FV(A10,"P/E",TRUE),0)</f>
        <v>0</v>
      </c>
      <c r="I10" s="34" cm="1">
        <f t="array" aca="1" ref="I10" ca="1">_FV(A10,"Shares outstanding",TRUE)</f>
        <v>4995000000</v>
      </c>
      <c r="J10" s="32" cm="1">
        <f t="array" aca="1" ref="J10" ca="1">_FV(A10,"Beta")</f>
        <v>1.3688</v>
      </c>
    </row>
    <row r="11" spans="1:10" x14ac:dyDescent="0.3">
      <c r="A11" t="e" vm="79">
        <v>#VALUE!</v>
      </c>
      <c r="B11" s="77" cm="1">
        <f t="array" aca="1" ref="B11" ca="1">_FV(A11,"Price")</f>
        <v>198.79</v>
      </c>
      <c r="C11" s="78" cm="1">
        <f t="array" aca="1" ref="C11" ca="1">_FV(A11,"Market cap",TRUE)</f>
        <v>2133994746800</v>
      </c>
      <c r="D11" s="68" cm="1">
        <f t="array" aca="1" ref="D11" ca="1">_FV(A11,"Change (%)",TRUE)</f>
        <v>-4.058E-3</v>
      </c>
      <c r="E11" t="str" cm="1">
        <f t="array" aca="1" ref="E11" ca="1">_FV(A11,"Industry")</f>
        <v>Diversified Retail</v>
      </c>
      <c r="F11" t="s">
        <v>11</v>
      </c>
      <c r="G11" t="str" cm="1">
        <f t="array" aca="1" ref="G11" ca="1">_FV(A11,"Ticker symbol",TRUE)</f>
        <v>AMZN</v>
      </c>
      <c r="H11" s="32" cm="1">
        <f t="array" aca="1" ref="H11" ca="1">IFERROR(_FV(A11,"P/E",TRUE),0)</f>
        <v>27.829499999999999</v>
      </c>
      <c r="I11" s="34" cm="1">
        <f t="array" aca="1" ref="I11" ca="1">_FV(A11,"Shares outstanding",TRUE)</f>
        <v>10734920000</v>
      </c>
      <c r="J11" s="32" cm="1">
        <f t="array" aca="1" ref="J11" ca="1">_FV(A11,"Beta")</f>
        <v>1.419</v>
      </c>
    </row>
    <row r="12" spans="1:10" x14ac:dyDescent="0.3">
      <c r="A12" t="e" vm="80">
        <v>#VALUE!</v>
      </c>
      <c r="B12" s="77" cm="1">
        <f t="array" aca="1" ref="B12" ca="1">_FV(A12,"Price")</f>
        <v>52.55</v>
      </c>
      <c r="C12" s="78" cm="1">
        <f t="array" aca="1" ref="C12" ca="1">_FV(A12,"Market cap",TRUE)</f>
        <v>379014983200</v>
      </c>
      <c r="D12" s="68" cm="1">
        <f t="array" aca="1" ref="D12" ca="1">_FV(A12,"Change (%)",TRUE)</f>
        <v>5.7120000000000001E-4</v>
      </c>
      <c r="E12" t="str" cm="1">
        <f t="array" aca="1" ref="E12" ca="1">_FV(A12,"Industry")</f>
        <v>Banking Services</v>
      </c>
      <c r="F12" t="s">
        <v>9</v>
      </c>
      <c r="G12" t="str" cm="1">
        <f t="array" aca="1" ref="G12" ca="1">_FV(A12,"Ticker symbol",TRUE)</f>
        <v>BAC</v>
      </c>
      <c r="H12" s="32" cm="1">
        <f t="array" aca="1" ref="H12" ca="1">IFERROR(_FV(A12,"P/E",TRUE),0)</f>
        <v>13.784800000000001</v>
      </c>
      <c r="I12" s="34" cm="1">
        <f t="array" aca="1" ref="I12" ca="1">_FV(A12,"Shares outstanding",TRUE)</f>
        <v>7212464000</v>
      </c>
      <c r="J12" s="32" cm="1">
        <f t="array" aca="1" ref="J12" ca="1">_FV(A12,"Beta")</f>
        <v>1.2707999999999999</v>
      </c>
    </row>
    <row r="13" spans="1:10" x14ac:dyDescent="0.3">
      <c r="A13" t="e" vm="81">
        <v>#VALUE!</v>
      </c>
      <c r="B13" s="77" cm="1">
        <f t="array" aca="1" ref="B13" ca="1">_FV(A13,"Price")</f>
        <v>3.95</v>
      </c>
      <c r="C13" s="78" cm="1">
        <f t="array" aca="1" ref="C13" ca="1">_FV(A13,"Market cap",TRUE)</f>
        <v>1005986395</v>
      </c>
      <c r="D13" s="68" cm="1">
        <f t="array" aca="1" ref="D13" ca="1">_FV(A13,"Change (%)",TRUE)</f>
        <v>7.6530000000000001E-3</v>
      </c>
      <c r="E13" t="str" cm="1">
        <f t="array" aca="1" ref="E13" ca="1">_FV(A13,"Industry")</f>
        <v>Healthcare Providers &amp; Services</v>
      </c>
      <c r="F13" t="s">
        <v>10</v>
      </c>
      <c r="G13" t="str" cm="1">
        <f t="array" aca="1" ref="G13" ca="1">_FV(A13,"Ticker symbol",TRUE)</f>
        <v>WELL</v>
      </c>
      <c r="H13" s="32" cm="1">
        <f t="array" ref="H13">IFERROR(_FV(A13,"P/E",TRUE),0)</f>
        <v>0</v>
      </c>
      <c r="I13" s="34" cm="1">
        <f t="array" aca="1" ref="I13" ca="1">_FV(A13,"Shares outstanding",TRUE)</f>
        <v>254680100</v>
      </c>
      <c r="J13" s="32" cm="1">
        <f t="array" aca="1" ref="J13" ca="1">_FV(A13,"Beta")</f>
        <v>1.2218</v>
      </c>
    </row>
    <row r="14" spans="1:10" x14ac:dyDescent="0.3">
      <c r="A14" t="e" vm="82">
        <v>#VALUE!</v>
      </c>
      <c r="B14" s="77" cm="1">
        <f t="array" aca="1" ref="B14" ca="1">_FV(A14,"Price")</f>
        <v>63.13</v>
      </c>
      <c r="C14" s="78" cm="1">
        <f t="array" aca="1" ref="C14" ca="1">_FV(A14,"Market cap",TRUE)</f>
        <v>93456578790</v>
      </c>
      <c r="D14" s="68" cm="1">
        <f t="array" aca="1" ref="D14" ca="1">_FV(A14,"Change (%)",TRUE)</f>
        <v>3.3224000000000004E-2</v>
      </c>
      <c r="E14" t="str" cm="1">
        <f t="array" aca="1" ref="E14" ca="1">_FV(A14,"Industry")</f>
        <v>Textiles &amp; Apparel</v>
      </c>
      <c r="F14" t="s">
        <v>11</v>
      </c>
      <c r="G14" t="str" cm="1">
        <f t="array" aca="1" ref="G14" ca="1">_FV(A14,"Ticker symbol",TRUE)</f>
        <v>NKE</v>
      </c>
      <c r="H14" s="32" cm="1">
        <f t="array" aca="1" ref="H14" ca="1">IFERROR(_FV(A14,"P/E",TRUE),0)</f>
        <v>35.827199999999998</v>
      </c>
      <c r="I14" s="34" cm="1">
        <f t="array" aca="1" ref="I14" ca="1">_FV(A14,"Shares outstanding",TRUE)</f>
        <v>1480383000</v>
      </c>
      <c r="J14" s="32" cm="1">
        <f t="array" aca="1" ref="J14" ca="1">_FV(A14,"Beta")</f>
        <v>1.2652000000000001</v>
      </c>
    </row>
    <row r="15" spans="1:10" x14ac:dyDescent="0.3">
      <c r="A15" t="e" vm="83">
        <v>#VALUE!</v>
      </c>
      <c r="B15" s="77" cm="1">
        <f t="array" aca="1" ref="B15" ca="1">_FV(A15,"Price")</f>
        <v>639.77</v>
      </c>
      <c r="C15" s="78" cm="1">
        <f t="array" aca="1" ref="C15" ca="1">_FV(A15,"Market cap",TRUE)</f>
        <v>1618333402350</v>
      </c>
      <c r="D15" s="68" cm="1">
        <f t="array" aca="1" ref="D15" ca="1">_FV(A15,"Change (%)",TRUE)</f>
        <v>-1.5450999999999999E-2</v>
      </c>
      <c r="E15" t="str" cm="1">
        <f t="array" aca="1" ref="E15" ca="1">_FV(A15,"Industry")</f>
        <v>Software &amp; IT Services</v>
      </c>
      <c r="F15" t="s">
        <v>143</v>
      </c>
      <c r="G15" t="str" cm="1">
        <f t="array" aca="1" ref="G15" ca="1">_FV(A15,"Ticker symbol",TRUE)</f>
        <v>META</v>
      </c>
      <c r="H15" s="32" cm="1">
        <f t="array" aca="1" ref="H15" ca="1">IFERROR(_FV(A15,"P/E",TRUE),0)</f>
        <v>22.230499999999999</v>
      </c>
      <c r="I15" s="34" cm="1">
        <f t="array" aca="1" ref="I15" ca="1">_FV(A15,"Shares outstanding",TRUE)</f>
        <v>2529555000</v>
      </c>
      <c r="J15" s="32" cm="1">
        <f t="array" aca="1" ref="J15" ca="1">_FV(A15,"Beta")</f>
        <v>1.3069999999999999</v>
      </c>
    </row>
    <row r="16" spans="1:10" x14ac:dyDescent="0.3">
      <c r="A16" t="e" vm="84">
        <v>#VALUE!</v>
      </c>
      <c r="B16" s="77" cm="1">
        <f t="array" aca="1" ref="B16" ca="1">_FV(A16,"Price")</f>
        <v>189.7</v>
      </c>
      <c r="C16" s="78" cm="1">
        <f t="array" aca="1" ref="C16" ca="1">_FV(A16,"Market cap",TRUE)</f>
        <v>177748900000</v>
      </c>
      <c r="D16" s="68" cm="1">
        <f t="array" aca="1" ref="D16" ca="1">_FV(A16,"Change (%)",TRUE)</f>
        <v>2.3028E-2</v>
      </c>
      <c r="E16" t="str" cm="1">
        <f t="array" aca="1" ref="E16" ca="1">_FV(A16,"Industry")</f>
        <v>Software &amp; IT Services</v>
      </c>
      <c r="F16" t="s">
        <v>12</v>
      </c>
      <c r="G16" t="str" cm="1">
        <f t="array" aca="1" ref="G16" ca="1">_FV(A16,"Ticker symbol",TRUE)</f>
        <v>CRM</v>
      </c>
      <c r="H16" s="32" cm="1">
        <f t="array" aca="1" ref="H16" ca="1">IFERROR(_FV(A16,"P/E",TRUE),0)</f>
        <v>24.7227</v>
      </c>
      <c r="I16" s="34" cm="1">
        <f t="array" aca="1" ref="I16" ca="1">_FV(A16,"Shares outstanding",TRUE)</f>
        <v>937000000</v>
      </c>
      <c r="J16" s="32" cm="1">
        <f t="array" aca="1" ref="J16" ca="1">_FV(A16,"Beta")</f>
        <v>1.2947</v>
      </c>
    </row>
    <row r="17" spans="1:10" x14ac:dyDescent="0.3">
      <c r="A17" t="e" vm="85">
        <v>#VALUE!</v>
      </c>
      <c r="B17" s="77" cm="1">
        <f t="array" aca="1" ref="B17" ca="1">_FV(A17,"Price")</f>
        <v>399.4</v>
      </c>
      <c r="C17" s="78" cm="1">
        <f t="array" aca="1" ref="C17" ca="1">_FV(A17,"Market cap",TRUE)</f>
        <v>111142675540</v>
      </c>
      <c r="D17" s="68" cm="1">
        <f t="array" aca="1" ref="D17" ca="1">_FV(A17,"Change (%)",TRUE)</f>
        <v>3.6180000000000001E-3</v>
      </c>
      <c r="E17" t="str" cm="1">
        <f t="array" aca="1" ref="E17" ca="1">_FV(A17,"Industry")</f>
        <v>Financial Technology (Fintech) &amp; Infrastructure</v>
      </c>
      <c r="F17" t="s">
        <v>12</v>
      </c>
      <c r="G17" t="str" cm="1">
        <f t="array" aca="1" ref="G17" ca="1">_FV(A17,"Ticker symbol",TRUE)</f>
        <v>INTU</v>
      </c>
      <c r="H17" s="32" cm="1">
        <f t="array" aca="1" ref="H17" ca="1">IFERROR(_FV(A17,"P/E",TRUE),0)</f>
        <v>27.3278</v>
      </c>
      <c r="I17" s="34" cm="1">
        <f t="array" aca="1" ref="I17" ca="1">_FV(A17,"Shares outstanding",TRUE)</f>
        <v>278274100</v>
      </c>
      <c r="J17" s="32" cm="1">
        <f t="array" aca="1" ref="J17" ca="1">_FV(A17,"Beta")</f>
        <v>1.2749999999999999</v>
      </c>
    </row>
    <row r="18" spans="1:10" x14ac:dyDescent="0.3">
      <c r="A18" t="e" vm="86">
        <v>#VALUE!</v>
      </c>
      <c r="B18" s="77" cm="1">
        <f t="array" aca="1" ref="B18" ca="1">_FV(A18,"Price")</f>
        <v>325.17</v>
      </c>
      <c r="C18" s="78" cm="1">
        <f t="array" aca="1" ref="C18" ca="1">_FV(A18,"Market cap",TRUE)</f>
        <v>1541720066580</v>
      </c>
      <c r="D18" s="68" cm="1">
        <f t="array" aca="1" ref="D18" ca="1">_FV(A18,"Change (%)",TRUE)</f>
        <v>-1.8118000000000002E-2</v>
      </c>
      <c r="E18" t="str" cm="1">
        <f t="array" aca="1" ref="E18" ca="1">_FV(A18,"Industry")</f>
        <v>Semiconductors &amp; Semiconductor Equipment</v>
      </c>
      <c r="F18" t="s">
        <v>12</v>
      </c>
      <c r="G18" t="str" cm="1">
        <f t="array" aca="1" ref="G18" ca="1">_FV(A18,"Ticker symbol",TRUE)</f>
        <v>AVGO</v>
      </c>
      <c r="H18" s="32" cm="1">
        <f t="array" aca="1" ref="H18" ca="1">IFERROR(_FV(A18,"P/E",TRUE),0)</f>
        <v>69.427700000000002</v>
      </c>
      <c r="I18" s="34" cm="1">
        <f t="array" aca="1" ref="I18" ca="1">_FV(A18,"Shares outstanding",TRUE)</f>
        <v>4741274000</v>
      </c>
      <c r="J18" s="32" cm="1">
        <f t="array" aca="1" ref="J18" ca="1">_FV(A18,"Beta")</f>
        <v>1.2273000000000001</v>
      </c>
    </row>
    <row r="19" spans="1:10" x14ac:dyDescent="0.3">
      <c r="A19" t="e" vm="87">
        <v>#VALUE!</v>
      </c>
      <c r="B19" s="77" cm="1">
        <f t="array" aca="1" ref="B19" ca="1">_FV(A19,"Price")</f>
        <v>140.69999999999999</v>
      </c>
      <c r="C19" s="78" cm="1">
        <f t="array" aca="1" ref="C19" ca="1">_FV(A19,"Market cap",TRUE)</f>
        <v>150126900000</v>
      </c>
      <c r="D19" s="68" cm="1">
        <f t="array" aca="1" ref="D19" ca="1">_FV(A19,"Change (%)",TRUE)</f>
        <v>1.6105000000000001E-2</v>
      </c>
      <c r="E19" t="str" cm="1">
        <f t="array" aca="1" ref="E19" ca="1">_FV(A19,"Industry")</f>
        <v>Semiconductors &amp; Semiconductor Equipment</v>
      </c>
      <c r="F19" t="s">
        <v>12</v>
      </c>
      <c r="G19" t="str" cm="1">
        <f t="array" aca="1" ref="G19" ca="1">_FV(A19,"Ticker symbol",TRUE)</f>
        <v>QCOM</v>
      </c>
      <c r="H19" s="32" cm="1">
        <f t="array" aca="1" ref="H19" ca="1">IFERROR(_FV(A19,"P/E",TRUE),0)</f>
        <v>28.607099999999999</v>
      </c>
      <c r="I19" s="34" cm="1">
        <f t="array" aca="1" ref="I19" ca="1">_FV(A19,"Shares outstanding",TRUE)</f>
        <v>1067000000</v>
      </c>
      <c r="J19" s="32" cm="1">
        <f t="array" aca="1" ref="J19" ca="1">_FV(A19,"Beta")</f>
        <v>1.2494000000000001</v>
      </c>
    </row>
    <row r="20" spans="1:10" x14ac:dyDescent="0.3">
      <c r="A20" t="e" vm="88">
        <v>#VALUE!</v>
      </c>
      <c r="B20" s="77" cm="1">
        <f t="array" aca="1" ref="B20" ca="1">_FV(A20,"Price")</f>
        <v>337.34</v>
      </c>
      <c r="C20" s="78" cm="1">
        <f t="array" aca="1" ref="C20" ca="1">_FV(A20,"Market cap",TRUE)</f>
        <v>231622366759</v>
      </c>
      <c r="D20" s="68" cm="1">
        <f t="array" aca="1" ref="D20" ca="1">_FV(A20,"Change (%)",TRUE)</f>
        <v>-1.6156999999999998E-2</v>
      </c>
      <c r="E20" t="str" cm="1">
        <f t="array" aca="1" ref="E20" ca="1">_FV(A20,"Industry")</f>
        <v>Banking Services</v>
      </c>
      <c r="F20" t="s">
        <v>9</v>
      </c>
      <c r="G20" t="str" cm="1">
        <f t="array" aca="1" ref="G20" ca="1">_FV(A20,"Ticker symbol",TRUE)</f>
        <v>AXP</v>
      </c>
      <c r="H20" s="32" cm="1">
        <f t="array" aca="1" ref="H20" ca="1">IFERROR(_FV(A20,"P/E",TRUE),0)</f>
        <v>22.295400000000001</v>
      </c>
      <c r="I20" s="34" cm="1">
        <f t="array" aca="1" ref="I20" ca="1">_FV(A20,"Shares outstanding",TRUE)</f>
        <v>686614000</v>
      </c>
      <c r="J20" s="32" cm="1">
        <f t="array" aca="1" ref="J20" ca="1">_FV(A20,"Beta")</f>
        <v>1.1353</v>
      </c>
    </row>
    <row r="21" spans="1:10" x14ac:dyDescent="0.3">
      <c r="A21" t="e" vm="89">
        <v>#VALUE!</v>
      </c>
      <c r="B21" s="77" cm="1">
        <f t="array" aca="1" ref="B21" ca="1">_FV(A21,"Price")</f>
        <v>255.78</v>
      </c>
      <c r="C21" s="78" cm="1">
        <f t="array" aca="1" ref="C21" ca="1">_FV(A21,"Market cap",TRUE)</f>
        <v>3760656606000</v>
      </c>
      <c r="D21" s="68" cm="1">
        <f t="array" aca="1" ref="D21" ca="1">_FV(A21,"Change (%)",TRUE)</f>
        <v>-2.2733E-2</v>
      </c>
      <c r="E21" t="str" cm="1">
        <f t="array" aca="1" ref="E21" ca="1">_FV(A21,"Industry")</f>
        <v>Computers, Phones &amp; Household Electronics</v>
      </c>
      <c r="F21" t="s">
        <v>12</v>
      </c>
      <c r="G21" t="str" cm="1">
        <f t="array" aca="1" ref="G21" ca="1">_FV(A21,"Ticker symbol",TRUE)</f>
        <v>AAPL</v>
      </c>
      <c r="H21" s="32" cm="1">
        <f t="array" aca="1" ref="H21" ca="1">IFERROR(_FV(A21,"P/E",TRUE),0)</f>
        <v>33.252099999999999</v>
      </c>
      <c r="I21" s="34" cm="1">
        <f t="array" aca="1" ref="I21" ca="1">_FV(A21,"Shares outstanding",TRUE)</f>
        <v>14702700000</v>
      </c>
      <c r="J21" s="32" cm="1">
        <f t="array" aca="1" ref="J21" ca="1">_FV(A21,"Beta")</f>
        <v>1.1079000000000001</v>
      </c>
    </row>
    <row r="22" spans="1:10" x14ac:dyDescent="0.3">
      <c r="A22" t="e" vm="90">
        <v>#VALUE!</v>
      </c>
      <c r="B22" s="77" cm="1">
        <f t="array" aca="1" ref="B22" ca="1">_FV(A22,"Price")</f>
        <v>305.72000000000003</v>
      </c>
      <c r="C22" s="78" cm="1">
        <f t="array" aca="1" ref="C22" ca="1">_FV(A22,"Market cap",TRUE)</f>
        <v>3698294840000</v>
      </c>
      <c r="D22" s="68" cm="1">
        <f t="array" aca="1" ref="D22" ca="1">_FV(A22,"Change (%)",TRUE)</f>
        <v>-1.0615000000000001E-2</v>
      </c>
      <c r="E22" t="str" cm="1">
        <f t="array" aca="1" ref="E22" ca="1">_FV(A22,"Industry")</f>
        <v>Software &amp; IT Services</v>
      </c>
      <c r="F22" t="s">
        <v>143</v>
      </c>
      <c r="G22" t="str" cm="1">
        <f t="array" aca="1" ref="G22" ca="1">_FV(A22,"Ticker symbol",TRUE)</f>
        <v>GOOGL</v>
      </c>
      <c r="H22" s="32" cm="1">
        <f t="array" aca="1" ref="H22" ca="1">IFERROR(_FV(A22,"P/E",TRUE),0)</f>
        <v>28.584599999999998</v>
      </c>
      <c r="I22" s="34" cm="1">
        <f t="array" aca="1" ref="I22" ca="1">_FV(A22,"Shares outstanding",TRUE)</f>
        <v>12097000000</v>
      </c>
      <c r="J22" s="32" cm="1">
        <f t="array" aca="1" ref="J22" ca="1">_FV(A22,"Beta")</f>
        <v>1.1077999999999999</v>
      </c>
    </row>
    <row r="23" spans="1:10" x14ac:dyDescent="0.3">
      <c r="A23" t="e" vm="91">
        <v>#VALUE!</v>
      </c>
      <c r="B23" s="77" cm="1">
        <f t="array" aca="1" ref="B23" ca="1">_FV(A23,"Price")</f>
        <v>306.02</v>
      </c>
      <c r="C23" s="78" cm="1">
        <f t="array" aca="1" ref="C23" ca="1">_FV(A23,"Market cap",TRUE)</f>
        <v>3701923940000</v>
      </c>
      <c r="D23" s="68" cm="1">
        <f t="array" aca="1" ref="D23" ca="1">_FV(A23,"Change (%)",TRUE)</f>
        <v>-1.0827999999999999E-2</v>
      </c>
      <c r="E23" t="str" cm="1">
        <f t="array" aca="1" ref="E23" ca="1">_FV(A23,"Industry")</f>
        <v>Software &amp; IT Services</v>
      </c>
      <c r="F23" t="s">
        <v>143</v>
      </c>
      <c r="G23" t="str" cm="1">
        <f t="array" aca="1" ref="G23" ca="1">_FV(A23,"Ticker symbol",TRUE)</f>
        <v>GOOG</v>
      </c>
      <c r="H23" s="32" cm="1">
        <f t="array" aca="1" ref="H23" ca="1">IFERROR(_FV(A23,"P/E",TRUE),0)</f>
        <v>28.6615</v>
      </c>
      <c r="I23" s="34" cm="1">
        <f t="array" aca="1" ref="I23" ca="1">_FV(A23,"Shares outstanding",TRUE)</f>
        <v>12097000000</v>
      </c>
      <c r="J23" s="32" cm="1">
        <f t="array" aca="1" ref="J23" ca="1">_FV(A23,"Beta")</f>
        <v>1.1077999999999999</v>
      </c>
    </row>
    <row r="24" spans="1:10" x14ac:dyDescent="0.3">
      <c r="A24" t="e" vm="92">
        <v>#VALUE!</v>
      </c>
      <c r="B24" s="77" cm="1">
        <f t="array" aca="1" ref="B24" ca="1">_FV(A24,"Price")</f>
        <v>86.94</v>
      </c>
      <c r="C24" s="78" cm="1">
        <f t="array" aca="1" ref="C24" ca="1">_FV(A24,"Market cap",TRUE)</f>
        <v>268870644000</v>
      </c>
      <c r="D24" s="68" cm="1">
        <f t="array" aca="1" ref="D24" ca="1">_FV(A24,"Change (%)",TRUE)</f>
        <v>7.5329999999999998E-3</v>
      </c>
      <c r="E24" t="str" cm="1">
        <f t="array" aca="1" ref="E24" ca="1">_FV(A24,"Industry")</f>
        <v>Banking Services</v>
      </c>
      <c r="F24" t="s">
        <v>9</v>
      </c>
      <c r="G24" t="str" cm="1">
        <f t="array" aca="1" ref="G24" ca="1">_FV(A24,"Ticker symbol",TRUE)</f>
        <v>WFC</v>
      </c>
      <c r="H24" s="32" cm="1">
        <f t="array" aca="1" ref="H24" ca="1">IFERROR(_FV(A24,"P/E",TRUE),0)</f>
        <v>13.7624</v>
      </c>
      <c r="I24" s="34" cm="1">
        <f t="array" aca="1" ref="I24" ca="1">_FV(A24,"Shares outstanding",TRUE)</f>
        <v>3092600000</v>
      </c>
      <c r="J24" s="32" cm="1">
        <f t="array" aca="1" ref="J24" ca="1">_FV(A24,"Beta")</f>
        <v>1.0686</v>
      </c>
    </row>
    <row r="25" spans="1:10" x14ac:dyDescent="0.3">
      <c r="A25" t="e" vm="93">
        <v>#VALUE!</v>
      </c>
      <c r="B25" s="77" cm="1">
        <f t="array" aca="1" ref="B25" ca="1">_FV(A25,"Price")</f>
        <v>401.32</v>
      </c>
      <c r="C25" s="78" cm="1">
        <f t="array" aca="1" ref="C25" ca="1">_FV(A25,"Market cap",TRUE)</f>
        <v>2980053430280</v>
      </c>
      <c r="D25" s="68" cm="1">
        <f t="array" aca="1" ref="D25" ca="1">_FV(A25,"Change (%)",TRUE)</f>
        <v>-1.2939999999999998E-3</v>
      </c>
      <c r="E25" t="str" cm="1">
        <f t="array" aca="1" ref="E25" ca="1">_FV(A25,"Industry")</f>
        <v>Software &amp; IT Services</v>
      </c>
      <c r="F25" t="s">
        <v>12</v>
      </c>
      <c r="G25" t="str" cm="1">
        <f t="array" aca="1" ref="G25" ca="1">_FV(A25,"Ticker symbol",TRUE)</f>
        <v>MSFT</v>
      </c>
      <c r="H25" s="32" cm="1">
        <f t="array" aca="1" ref="H25" ca="1">IFERROR(_FV(A25,"P/E",TRUE),0)</f>
        <v>25.142600000000002</v>
      </c>
      <c r="I25" s="34" cm="1">
        <f t="array" aca="1" ref="I25" ca="1">_FV(A25,"Shares outstanding",TRUE)</f>
        <v>7425629000</v>
      </c>
      <c r="J25" s="32" cm="1">
        <f t="array" aca="1" ref="J25" ca="1">_FV(A25,"Beta")</f>
        <v>1.0964</v>
      </c>
    </row>
    <row r="26" spans="1:10" x14ac:dyDescent="0.3">
      <c r="A26" t="e" vm="94">
        <v>#VALUE!</v>
      </c>
      <c r="B26" s="77" cm="1">
        <f t="array" aca="1" ref="B26" ca="1">_FV(A26,"Price")</f>
        <v>171.8</v>
      </c>
      <c r="C26" s="78" cm="1">
        <f t="array" aca="1" ref="C26" ca="1">_FV(A26,"Market cap",TRUE)</f>
        <v>90487060000</v>
      </c>
      <c r="D26" s="68" cm="1">
        <f t="array" aca="1" ref="D26" ca="1">_FV(A26,"Change (%)",TRUE)</f>
        <v>-1.1677999999999999E-2</v>
      </c>
      <c r="E26" t="str" cm="1">
        <f t="array" aca="1" ref="E26" ca="1">_FV(A26,"Industry")</f>
        <v>Consumer Goods Conglomerates</v>
      </c>
      <c r="F26" t="s">
        <v>13</v>
      </c>
      <c r="G26" t="str" cm="1">
        <f t="array" aca="1" ref="G26" ca="1">_FV(A26,"Ticker symbol",TRUE)</f>
        <v>MMM</v>
      </c>
      <c r="H26" s="32" cm="1">
        <f t="array" aca="1" ref="H26" ca="1">IFERROR(_FV(A26,"P/E",TRUE),0)</f>
        <v>28.992899999999999</v>
      </c>
      <c r="I26" s="34" cm="1">
        <f t="array" aca="1" ref="I26" ca="1">_FV(A26,"Shares outstanding",TRUE)</f>
        <v>526700000</v>
      </c>
      <c r="J26" s="32" cm="1">
        <f t="array" aca="1" ref="J26" ca="1">_FV(A26,"Beta")</f>
        <v>1.0483</v>
      </c>
    </row>
    <row r="27" spans="1:10" x14ac:dyDescent="0.3">
      <c r="A27" t="e" vm="95">
        <v>#VALUE!</v>
      </c>
      <c r="B27" s="77" cm="1">
        <f t="array" aca="1" ref="B27" ca="1">_FV(A27,"Price")</f>
        <v>391</v>
      </c>
      <c r="C27" s="78" cm="1">
        <f t="array" aca="1" ref="C27" ca="1">_FV(A27,"Market cap",TRUE)</f>
        <v>389244996500</v>
      </c>
      <c r="D27" s="68" cm="1">
        <f t="array" aca="1" ref="D27" ca="1">_FV(A27,"Change (%)",TRUE)</f>
        <v>1.9989999999999999E-3</v>
      </c>
      <c r="E27" t="str" cm="1">
        <f t="array" aca="1" ref="E27" ca="1">_FV(A27,"Industry")</f>
        <v>Specialty Retailers</v>
      </c>
      <c r="F27" t="s">
        <v>11</v>
      </c>
      <c r="G27" t="str" cm="1">
        <f t="array" aca="1" ref="G27" ca="1">_FV(A27,"Ticker symbol",TRUE)</f>
        <v>HD</v>
      </c>
      <c r="H27" s="32" cm="1">
        <f t="array" aca="1" ref="H27" ca="1">IFERROR(_FV(A27,"P/E",TRUE),0)</f>
        <v>26.616</v>
      </c>
      <c r="I27" s="34" cm="1">
        <f t="array" aca="1" ref="I27" ca="1">_FV(A27,"Shares outstanding",TRUE)</f>
        <v>995511500</v>
      </c>
      <c r="J27" s="32" cm="1">
        <f t="array" aca="1" ref="J27" ca="1">_FV(A27,"Beta")</f>
        <v>1.0751999999999999</v>
      </c>
    </row>
    <row r="28" spans="1:10" x14ac:dyDescent="0.3">
      <c r="A28" t="e" vm="96">
        <v>#VALUE!</v>
      </c>
      <c r="B28" s="77" cm="1">
        <f t="array" aca="1" ref="B28" ca="1">_FV(A28,"Price")</f>
        <v>302.48</v>
      </c>
      <c r="C28" s="78" cm="1">
        <f t="array" aca="1" ref="C28" ca="1">_FV(A28,"Market cap",TRUE)</f>
        <v>815546576000</v>
      </c>
      <c r="D28" s="68" cm="1">
        <f t="array" aca="1" ref="D28" ca="1">_FV(A28,"Change (%)",TRUE)</f>
        <v>-5.287E-4</v>
      </c>
      <c r="E28" t="str" cm="1">
        <f t="array" aca="1" ref="E28" ca="1">_FV(A28,"Industry")</f>
        <v>Banking Services</v>
      </c>
      <c r="F28" t="s">
        <v>9</v>
      </c>
      <c r="G28" t="str" cm="1">
        <f t="array" aca="1" ref="G28" ca="1">_FV(A28,"Ticker symbol",TRUE)</f>
        <v>JPM</v>
      </c>
      <c r="H28" s="32" cm="1">
        <f t="array" aca="1" ref="H28" ca="1">IFERROR(_FV(A28,"P/E",TRUE),0)</f>
        <v>15.1242</v>
      </c>
      <c r="I28" s="34" cm="1">
        <f t="array" aca="1" ref="I28" ca="1">_FV(A28,"Shares outstanding",TRUE)</f>
        <v>2696200000</v>
      </c>
      <c r="J28" s="32" cm="1">
        <f t="array" aca="1" ref="J28" ca="1">_FV(A28,"Beta")</f>
        <v>1.0526</v>
      </c>
    </row>
    <row r="29" spans="1:10" x14ac:dyDescent="0.3">
      <c r="A29" t="e" vm="97">
        <v>#VALUE!</v>
      </c>
      <c r="B29" s="77" cm="1">
        <f t="array" aca="1" ref="B29" ca="1">_FV(A29,"Price")</f>
        <v>1018.48</v>
      </c>
      <c r="C29" s="78" cm="1">
        <f t="array" aca="1" ref="C29" ca="1">_FV(A29,"Market cap",TRUE)</f>
        <v>452072106512</v>
      </c>
      <c r="D29" s="68" cm="1">
        <f t="array" aca="1" ref="D29" ca="1">_FV(A29,"Change (%)",TRUE)</f>
        <v>1.9642E-2</v>
      </c>
      <c r="E29" t="str" cm="1">
        <f t="array" aca="1" ref="E29" ca="1">_FV(A29,"Industry")</f>
        <v>Diversified Retail</v>
      </c>
      <c r="F29" t="s">
        <v>15</v>
      </c>
      <c r="G29" t="str" cm="1">
        <f t="array" aca="1" ref="G29" ca="1">_FV(A29,"Ticker symbol",TRUE)</f>
        <v>COST</v>
      </c>
      <c r="H29" s="32" cm="1">
        <f t="array" aca="1" ref="H29" ca="1">IFERROR(_FV(A29,"P/E",TRUE),0)</f>
        <v>53.506100000000004</v>
      </c>
      <c r="I29" s="34" cm="1">
        <f t="array" aca="1" ref="I29" ca="1">_FV(A29,"Shares outstanding",TRUE)</f>
        <v>443869400</v>
      </c>
      <c r="J29" s="32" cm="1">
        <f t="array" aca="1" ref="J29" ca="1">_FV(A29,"Beta")</f>
        <v>0.99629999999999996</v>
      </c>
    </row>
    <row r="30" spans="1:10" x14ac:dyDescent="0.3">
      <c r="A30" t="e" vm="98">
        <v>#VALUE!</v>
      </c>
      <c r="B30" s="77" cm="1">
        <f t="array" aca="1" ref="B30" ca="1">_FV(A30,"Price")</f>
        <v>226.16</v>
      </c>
      <c r="C30" s="78" cm="1">
        <f t="array" aca="1" ref="C30" ca="1">_FV(A30,"Market cap",TRUE)</f>
        <v>205251688928</v>
      </c>
      <c r="D30" s="68" cm="1">
        <f t="array" aca="1" ref="D30" ca="1">_FV(A30,"Change (%)",TRUE)</f>
        <v>1.417E-2</v>
      </c>
      <c r="E30" t="str" cm="1">
        <f t="array" aca="1" ref="E30" ca="1">_FV(A30,"Industry")</f>
        <v>Semiconductors &amp; Semiconductor Equipment</v>
      </c>
      <c r="F30" t="s">
        <v>12</v>
      </c>
      <c r="G30" t="str" cm="1">
        <f t="array" aca="1" ref="G30" ca="1">_FV(A30,"Ticker symbol",TRUE)</f>
        <v>TXN</v>
      </c>
      <c r="H30" s="32" cm="1">
        <f t="array" aca="1" ref="H30" ca="1">IFERROR(_FV(A30,"P/E",TRUE),0)</f>
        <v>40.692500000000003</v>
      </c>
      <c r="I30" s="34" cm="1">
        <f t="array" aca="1" ref="I30" ca="1">_FV(A30,"Shares outstanding",TRUE)</f>
        <v>907550800</v>
      </c>
      <c r="J30" s="32" cm="1">
        <f t="array" aca="1" ref="J30" ca="1">_FV(A30,"Beta")</f>
        <v>0.98</v>
      </c>
    </row>
    <row r="31" spans="1:10" x14ac:dyDescent="0.3">
      <c r="A31" t="e" vm="99">
        <v>#VALUE!</v>
      </c>
      <c r="B31" s="77" cm="1">
        <f t="array" aca="1" ref="B31" ca="1">_FV(A31,"Price")</f>
        <v>93.79</v>
      </c>
      <c r="C31" s="78" cm="1">
        <f t="array" aca="1" ref="C31" ca="1">_FV(A31,"Market cap",TRUE)</f>
        <v>106854947000</v>
      </c>
      <c r="D31" s="68" cm="1">
        <f t="array" aca="1" ref="D31" ca="1">_FV(A31,"Change (%)",TRUE)</f>
        <v>-2.4444E-2</v>
      </c>
      <c r="E31" t="str" cm="1">
        <f t="array" aca="1" ref="E31" ca="1">_FV(A31,"Industry")</f>
        <v>Hotels &amp; Entertainment Services</v>
      </c>
      <c r="F31" t="s">
        <v>11</v>
      </c>
      <c r="G31" t="str" cm="1">
        <f t="array" aca="1" ref="G31" ca="1">_FV(A31,"Ticker symbol",TRUE)</f>
        <v>SBUX</v>
      </c>
      <c r="H31" s="32" cm="1">
        <f t="array" aca="1" ref="H31" ca="1">IFERROR(_FV(A31,"P/E",TRUE),0)</f>
        <v>80.087999999999994</v>
      </c>
      <c r="I31" s="34" cm="1">
        <f t="array" aca="1" ref="I31" ca="1">_FV(A31,"Shares outstanding",TRUE)</f>
        <v>1139300000</v>
      </c>
      <c r="J31" s="32" cm="1">
        <f t="array" aca="1" ref="J31" ca="1">_FV(A31,"Beta")</f>
        <v>0.9274</v>
      </c>
    </row>
    <row r="32" spans="1:10" x14ac:dyDescent="0.3">
      <c r="A32" t="e" vm="100">
        <v>#VALUE!</v>
      </c>
      <c r="B32" s="77" cm="1">
        <f t="array" aca="1" ref="B32" ca="1">_FV(A32,"Price")</f>
        <v>76.849999999999994</v>
      </c>
      <c r="C32" s="78" cm="1">
        <f t="array" aca="1" ref="C32" ca="1">_FV(A32,"Market cap",TRUE)</f>
        <v>303641573900</v>
      </c>
      <c r="D32" s="68" cm="1">
        <f t="array" aca="1" ref="D32" ca="1">_FV(A32,"Change (%)",TRUE)</f>
        <v>2.4666999999999998E-2</v>
      </c>
      <c r="E32" t="str" cm="1">
        <f t="array" aca="1" ref="E32" ca="1">_FV(A32,"Industry")</f>
        <v>Communications &amp; Networking</v>
      </c>
      <c r="F32" t="s">
        <v>12</v>
      </c>
      <c r="G32" t="str" cm="1">
        <f t="array" aca="1" ref="G32" ca="1">_FV(A32,"Ticker symbol",TRUE)</f>
        <v>CSCO</v>
      </c>
      <c r="H32" s="32" cm="1">
        <f t="array" aca="1" ref="H32" ca="1">IFERROR(_FV(A32,"P/E",TRUE),0)</f>
        <v>27.014099999999999</v>
      </c>
      <c r="I32" s="34" cm="1">
        <f t="array" aca="1" ref="I32" ca="1">_FV(A32,"Shares outstanding",TRUE)</f>
        <v>3951094000</v>
      </c>
      <c r="J32" s="32" cm="1">
        <f t="array" aca="1" ref="J32" ca="1">_FV(A32,"Beta")</f>
        <v>0.86739999999999995</v>
      </c>
    </row>
    <row r="33" spans="1:10" x14ac:dyDescent="0.3">
      <c r="A33" t="e" vm="101">
        <v>#VALUE!</v>
      </c>
      <c r="B33" s="77" cm="1">
        <f t="array" aca="1" ref="B33" ca="1">_FV(A33,"Price")</f>
        <v>518.36</v>
      </c>
      <c r="C33" s="78" cm="1">
        <f t="array" aca="1" ref="C33" ca="1">_FV(A33,"Market cap",TRUE)</f>
        <v>462279823828</v>
      </c>
      <c r="D33" s="68" cm="1">
        <f t="array" aca="1" ref="D33" ca="1">_FV(A33,"Change (%)",TRUE)</f>
        <v>-1.7252E-2</v>
      </c>
      <c r="E33" t="str" cm="1">
        <f t="array" aca="1" ref="E33" ca="1">_FV(A33,"Industry")</f>
        <v>Software &amp; IT Services</v>
      </c>
      <c r="F33" t="s">
        <v>9</v>
      </c>
      <c r="G33" t="str" cm="1">
        <f t="array" aca="1" ref="G33" ca="1">_FV(A33,"Ticker symbol",TRUE)</f>
        <v>MA</v>
      </c>
      <c r="H33" s="32" cm="1">
        <f t="array" aca="1" ref="H33" ca="1">IFERROR(_FV(A33,"P/E",TRUE),0)</f>
        <v>31.9178</v>
      </c>
      <c r="I33" s="34" cm="1">
        <f t="array" aca="1" ref="I33" ca="1">_FV(A33,"Shares outstanding",TRUE)</f>
        <v>891812300</v>
      </c>
      <c r="J33" s="32" cm="1">
        <f t="array" aca="1" ref="J33" ca="1">_FV(A33,"Beta")</f>
        <v>0.8276</v>
      </c>
    </row>
    <row r="34" spans="1:10" x14ac:dyDescent="0.3">
      <c r="A34" t="e" vm="102">
        <v>#VALUE!</v>
      </c>
      <c r="B34" s="77" cm="1">
        <f t="array" aca="1" ref="B34" ca="1">_FV(A34,"Price")</f>
        <v>314.08</v>
      </c>
      <c r="C34" s="78" cm="1">
        <f t="array" aca="1" ref="C34" ca="1">_FV(A34,"Market cap",TRUE)</f>
        <v>598639306720</v>
      </c>
      <c r="D34" s="68" cm="1">
        <f t="array" aca="1" ref="D34" ca="1">_FV(A34,"Change (%)",TRUE)</f>
        <v>-3.1156000000000003E-2</v>
      </c>
      <c r="E34" t="str" cm="1">
        <f t="array" aca="1" ref="E34" ca="1">_FV(A34,"Industry")</f>
        <v>Professional &amp; Commercial Services</v>
      </c>
      <c r="F34" t="s">
        <v>9</v>
      </c>
      <c r="G34" t="str" cm="1">
        <f t="array" aca="1" ref="G34" ca="1">_FV(A34,"Ticker symbol",TRUE)</f>
        <v>V</v>
      </c>
      <c r="H34" s="32" cm="1">
        <f t="array" aca="1" ref="H34" ca="1">IFERROR(_FV(A34,"P/E",TRUE),0)</f>
        <v>30.419499999999999</v>
      </c>
      <c r="I34" s="34" cm="1">
        <f t="array" aca="1" ref="I34" ca="1">_FV(A34,"Shares outstanding",TRUE)</f>
        <v>1906009000</v>
      </c>
      <c r="J34" s="32" cm="1">
        <f t="array" aca="1" ref="J34" ca="1">_FV(A34,"Beta")</f>
        <v>0.78310000000000002</v>
      </c>
    </row>
    <row r="35" spans="1:10" x14ac:dyDescent="0.3">
      <c r="A35" t="e" vm="103">
        <v>#VALUE!</v>
      </c>
      <c r="B35" s="77" cm="1">
        <f t="array" aca="1" ref="B35" ca="1">_FV(A35,"Price")</f>
        <v>112.61</v>
      </c>
      <c r="C35" s="78" cm="1">
        <f t="array" aca="1" ref="C35" ca="1">_FV(A35,"Market cap",TRUE)</f>
        <v>195814375920</v>
      </c>
      <c r="D35" s="68" cm="1">
        <f t="array" aca="1" ref="D35" ca="1">_FV(A35,"Change (%)",TRUE)</f>
        <v>1.0227E-2</v>
      </c>
      <c r="E35" t="str" cm="1">
        <f t="array" aca="1" ref="E35" ca="1">_FV(A35,"Industry")</f>
        <v>Healthcare Equipment &amp; Supplies</v>
      </c>
      <c r="F35" t="s">
        <v>16</v>
      </c>
      <c r="G35" t="str" cm="1">
        <f t="array" aca="1" ref="G35" ca="1">_FV(A35,"Ticker symbol",TRUE)</f>
        <v>ABT</v>
      </c>
      <c r="H35" s="32" cm="1">
        <f t="array" aca="1" ref="H35" ca="1">IFERROR(_FV(A35,"P/E",TRUE),0)</f>
        <v>29.8782</v>
      </c>
      <c r="I35" s="34" cm="1">
        <f t="array" aca="1" ref="I35" ca="1">_FV(A35,"Shares outstanding",TRUE)</f>
        <v>1738872000</v>
      </c>
      <c r="J35" s="32" cm="1">
        <f t="array" aca="1" ref="J35" ca="1">_FV(A35,"Beta")</f>
        <v>0.73929999999999996</v>
      </c>
    </row>
    <row r="36" spans="1:10" x14ac:dyDescent="0.3">
      <c r="A36" t="e" vm="104">
        <v>#VALUE!</v>
      </c>
      <c r="B36" s="77" cm="1">
        <f t="array" aca="1" ref="B36" ca="1">_FV(A36,"Price")</f>
        <v>497.24</v>
      </c>
      <c r="C36" s="78" cm="1">
        <f t="array" aca="1" ref="C36" ca="1">_FV(A36,"Market cap",TRUE)</f>
        <v>1068106000000</v>
      </c>
      <c r="D36" s="68" cm="1">
        <f t="array" aca="1" ref="D36" ca="1">_FV(A36,"Change (%)",TRUE)</f>
        <v>-5.5400000000000007E-3</v>
      </c>
      <c r="E36" t="str" cm="1">
        <f t="array" aca="1" ref="E36" ca="1">_FV(A36,"Industry")</f>
        <v>Consumer Goods Conglomerates</v>
      </c>
      <c r="F36" t="s">
        <v>9</v>
      </c>
      <c r="G36" t="str" cm="1">
        <f t="array" aca="1" ref="G36" ca="1">_FV(A36,"Ticker symbol",TRUE)</f>
        <v>BRK.B</v>
      </c>
      <c r="H36" s="32" cm="1">
        <f t="array" aca="1" ref="H36" ca="1">IFERROR(_FV(A36,"P/E",TRUE),0)</f>
        <v>15.9901</v>
      </c>
      <c r="I36" s="34" cm="1">
        <f t="array" aca="1" ref="I36" ca="1">_FV(A36,"Shares outstanding",TRUE)</f>
        <v>1438220</v>
      </c>
      <c r="J36" s="32" cm="1">
        <f t="array" aca="1" ref="J36" ca="1">_FV(A36,"Beta")</f>
        <v>0.69220000000000004</v>
      </c>
    </row>
    <row r="37" spans="1:10" x14ac:dyDescent="0.3">
      <c r="A37" t="e" vm="105">
        <v>#VALUE!</v>
      </c>
      <c r="B37" s="77" cm="1">
        <f t="array" aca="1" ref="B37" ca="1">_FV(A37,"Price")</f>
        <v>183.7</v>
      </c>
      <c r="C37" s="78" cm="1">
        <f t="array" aca="1" ref="C37" ca="1">_FV(A37,"Market cap",TRUE)</f>
        <v>363726000000</v>
      </c>
      <c r="D37" s="68" cm="1">
        <f t="array" aca="1" ref="D37" ca="1">_FV(A37,"Change (%)",TRUE)</f>
        <v>7.1269999999999997E-3</v>
      </c>
      <c r="E37" t="str" cm="1">
        <f t="array" aca="1" ref="E37" ca="1">_FV(A37,"Industry")</f>
        <v>Oil &amp; Gas</v>
      </c>
      <c r="F37" t="s">
        <v>17</v>
      </c>
      <c r="G37" t="str" cm="1">
        <f t="array" aca="1" ref="G37" ca="1">_FV(A37,"Ticker symbol",TRUE)</f>
        <v>CVX</v>
      </c>
      <c r="H37" s="32" cm="1">
        <f t="array" aca="1" ref="H37" ca="1">IFERROR(_FV(A37,"P/E",TRUE),0)</f>
        <v>27.436900000000001</v>
      </c>
      <c r="I37" s="34" cm="1">
        <f t="array" aca="1" ref="I37" ca="1">_FV(A37,"Shares outstanding",TRUE)</f>
        <v>1980000000</v>
      </c>
      <c r="J37" s="32" cm="1">
        <f t="array" aca="1" ref="J37" ca="1">_FV(A37,"Beta")</f>
        <v>0.66239999999999999</v>
      </c>
    </row>
    <row r="38" spans="1:10" x14ac:dyDescent="0.3">
      <c r="A38" t="e" vm="106">
        <v>#VALUE!</v>
      </c>
      <c r="B38" s="77" cm="1">
        <f t="array" aca="1" ref="B38" ca="1">_FV(A38,"Price")</f>
        <v>133.88999999999999</v>
      </c>
      <c r="C38" s="78" cm="1">
        <f t="array" aca="1" ref="C38" ca="1">_FV(A38,"Market cap",TRUE)</f>
        <v>1067125659629</v>
      </c>
      <c r="D38" s="68" cm="1">
        <f t="array" aca="1" ref="D38" ca="1">_FV(A38,"Change (%)",TRUE)</f>
        <v>1.8709999999999998E-3</v>
      </c>
      <c r="E38" t="str" cm="1">
        <f t="array" aca="1" ref="E38" ca="1">_FV(A38,"Industry")</f>
        <v>Food &amp; Drug Retailing</v>
      </c>
      <c r="F38" t="s">
        <v>15</v>
      </c>
      <c r="G38" t="str" cm="1">
        <f t="array" aca="1" ref="G38" ca="1">_FV(A38,"Ticker symbol",TRUE)</f>
        <v>WMT</v>
      </c>
      <c r="H38" s="32" cm="1">
        <f t="array" aca="1" ref="H38" ca="1">IFERROR(_FV(A38,"P/E",TRUE),0)</f>
        <v>46.874000000000002</v>
      </c>
      <c r="I38" s="34" cm="1">
        <f t="array" aca="1" ref="I38" ca="1">_FV(A38,"Shares outstanding",TRUE)</f>
        <v>7970167000</v>
      </c>
      <c r="J38" s="32" cm="1">
        <f t="array" aca="1" ref="J38" ca="1">_FV(A38,"Beta")</f>
        <v>0.64290000000000003</v>
      </c>
    </row>
    <row r="39" spans="1:10" x14ac:dyDescent="0.3">
      <c r="A39" t="e" vm="107">
        <v>#VALUE!</v>
      </c>
      <c r="B39" s="77" cm="1">
        <f t="array" aca="1" ref="B39" ca="1">_FV(A39,"Price")</f>
        <v>327.62</v>
      </c>
      <c r="C39" s="78" cm="1">
        <f t="array" aca="1" ref="C39" ca="1">_FV(A39,"Market cap",TRUE)</f>
        <v>233316024528</v>
      </c>
      <c r="D39" s="68" cm="1">
        <f t="array" aca="1" ref="D39" ca="1">_FV(A39,"Change (%)",TRUE)</f>
        <v>-1.3429999999999999E-2</v>
      </c>
      <c r="E39" t="str" cm="1">
        <f t="array" aca="1" ref="E39" ca="1">_FV(A39,"Industry")</f>
        <v>Hotels &amp; Entertainment Services</v>
      </c>
      <c r="F39" t="s">
        <v>11</v>
      </c>
      <c r="G39" t="str" cm="1">
        <f t="array" aca="1" ref="G39" ca="1">_FV(A39,"Ticker symbol",TRUE)</f>
        <v>MCD</v>
      </c>
      <c r="H39" s="32" cm="1">
        <f t="array" aca="1" ref="H39" ca="1">IFERROR(_FV(A39,"P/E",TRUE),0)</f>
        <v>27.783200000000001</v>
      </c>
      <c r="I39" s="34" cm="1">
        <f t="array" aca="1" ref="I39" ca="1">_FV(A39,"Shares outstanding",TRUE)</f>
        <v>712154400</v>
      </c>
      <c r="J39" s="32" cm="1">
        <f t="array" aca="1" ref="J39" ca="1">_FV(A39,"Beta")</f>
        <v>0.51859999999999995</v>
      </c>
    </row>
    <row r="40" spans="1:10" x14ac:dyDescent="0.3">
      <c r="A40" t="e" vm="108">
        <v>#VALUE!</v>
      </c>
      <c r="B40" s="77" cm="1">
        <f t="array" aca="1" ref="B40" ca="1">_FV(A40,"Price")</f>
        <v>369.19</v>
      </c>
      <c r="C40" s="78" cm="1">
        <f t="array" aca="1" ref="C40" ca="1">_FV(A40,"Market cap",TRUE)</f>
        <v>198801689633</v>
      </c>
      <c r="D40" s="68" cm="1">
        <f t="array" aca="1" ref="D40" ca="1">_FV(A40,"Change (%)",TRUE)</f>
        <v>1.5151E-2</v>
      </c>
      <c r="E40" t="str" cm="1">
        <f t="array" aca="1" ref="E40" ca="1">_FV(A40,"Industry")</f>
        <v>Pharmaceuticals</v>
      </c>
      <c r="F40" t="s">
        <v>16</v>
      </c>
      <c r="G40" t="str" cm="1">
        <f t="array" aca="1" ref="G40" ca="1">_FV(A40,"Ticker symbol",TRUE)</f>
        <v>AMGN</v>
      </c>
      <c r="H40" s="32" cm="1">
        <f t="array" aca="1" ref="H40" ca="1">IFERROR(_FV(A40,"P/E",TRUE),0)</f>
        <v>25.551500000000001</v>
      </c>
      <c r="I40" s="34" cm="1">
        <f t="array" aca="1" ref="I40" ca="1">_FV(A40,"Shares outstanding",TRUE)</f>
        <v>538480700</v>
      </c>
      <c r="J40" s="32" cm="1">
        <f t="array" aca="1" ref="J40" ca="1">_FV(A40,"Beta")</f>
        <v>0.4531</v>
      </c>
    </row>
    <row r="41" spans="1:10" x14ac:dyDescent="0.3">
      <c r="A41" t="e" vm="109">
        <v>#VALUE!</v>
      </c>
      <c r="B41" s="77" cm="1">
        <f t="array" aca="1" ref="B41" ca="1">_FV(A41,"Price")</f>
        <v>27.58</v>
      </c>
      <c r="C41" s="78" cm="1">
        <f t="array" aca="1" ref="C41" ca="1">_FV(A41,"Market cap",TRUE)</f>
        <v>156811826640</v>
      </c>
      <c r="D41" s="68" cm="1">
        <f t="array" aca="1" ref="D41" ca="1">_FV(A41,"Change (%)",TRUE)</f>
        <v>4.0039999999999997E-3</v>
      </c>
      <c r="E41" t="str" cm="1">
        <f t="array" aca="1" ref="E41" ca="1">_FV(A41,"Industry")</f>
        <v>Pharmaceuticals</v>
      </c>
      <c r="F41" t="s">
        <v>16</v>
      </c>
      <c r="G41" t="str" cm="1">
        <f t="array" aca="1" ref="G41" ca="1">_FV(A41,"Ticker symbol",TRUE)</f>
        <v>PFE</v>
      </c>
      <c r="H41" s="32" cm="1">
        <f t="array" aca="1" ref="H41" ca="1">IFERROR(_FV(A41,"P/E",TRUE),0)</f>
        <v>20.260200000000001</v>
      </c>
      <c r="I41" s="34" cm="1">
        <f t="array" aca="1" ref="I41" ca="1">_FV(A41,"Shares outstanding",TRUE)</f>
        <v>5685708000</v>
      </c>
      <c r="J41" s="32" cm="1">
        <f t="array" aca="1" ref="J41" ca="1">_FV(A41,"Beta")</f>
        <v>0.42849999999999999</v>
      </c>
    </row>
    <row r="42" spans="1:10" x14ac:dyDescent="0.3">
      <c r="A42" t="e" vm="110">
        <v>#VALUE!</v>
      </c>
      <c r="B42" s="77" cm="1">
        <f t="array" aca="1" ref="B42" ca="1">_FV(A42,"Price")</f>
        <v>200.05</v>
      </c>
      <c r="C42" s="78" cm="1">
        <f t="array" aca="1" ref="C42" ca="1">_FV(A42,"Market cap",TRUE)</f>
        <v>268524714400</v>
      </c>
      <c r="D42" s="68" cm="1">
        <f t="array" aca="1" ref="D42" ca="1">_FV(A42,"Change (%)",TRUE)</f>
        <v>-5.4190000000000002E-3</v>
      </c>
      <c r="E42" t="str" cm="1">
        <f t="array" aca="1" ref="E42" ca="1">_FV(A42,"Industry")</f>
        <v>Aerospace &amp; Defense</v>
      </c>
      <c r="F42" t="s">
        <v>13</v>
      </c>
      <c r="G42" t="str" cm="1">
        <f t="array" aca="1" ref="G42" ca="1">_FV(A42,"Ticker symbol",TRUE)</f>
        <v>RTX</v>
      </c>
      <c r="H42" s="32" cm="1">
        <f t="array" aca="1" ref="H42" ca="1">IFERROR(_FV(A42,"P/E",TRUE),0)</f>
        <v>40.526800000000001</v>
      </c>
      <c r="I42" s="34" cm="1">
        <f t="array" aca="1" ref="I42" ca="1">_FV(A42,"Shares outstanding",TRUE)</f>
        <v>1342288000</v>
      </c>
      <c r="J42" s="32" cm="1">
        <f t="array" aca="1" ref="J42" ca="1">_FV(A42,"Beta")</f>
        <v>0.42049999999999998</v>
      </c>
    </row>
    <row r="43" spans="1:10" x14ac:dyDescent="0.3">
      <c r="A43" t="e" vm="111">
        <v>#VALUE!</v>
      </c>
      <c r="B43" s="77" cm="1">
        <f t="array" aca="1" ref="B43" ca="1">_FV(A43,"Price")</f>
        <v>293.14</v>
      </c>
      <c r="C43" s="78" cm="1">
        <f t="array" aca="1" ref="C43" ca="1">_FV(A43,"Market cap",TRUE)</f>
        <v>265537527204</v>
      </c>
      <c r="D43" s="68" cm="1">
        <f t="array" aca="1" ref="D43" ca="1">_FV(A43,"Change (%)",TRUE)</f>
        <v>3.0839999999999999E-2</v>
      </c>
      <c r="E43" t="str" cm="1">
        <f t="array" aca="1" ref="E43" ca="1">_FV(A43,"Industry")</f>
        <v>Healthcare Providers &amp; Services</v>
      </c>
      <c r="F43" t="s">
        <v>16</v>
      </c>
      <c r="G43" t="str" cm="1">
        <f t="array" aca="1" ref="G43" ca="1">_FV(A43,"Ticker symbol",TRUE)</f>
        <v>UNH</v>
      </c>
      <c r="H43" s="32" cm="1">
        <f t="array" aca="1" ref="H43" ca="1">IFERROR(_FV(A43,"P/E",TRUE),0)</f>
        <v>21.5533</v>
      </c>
      <c r="I43" s="34" cm="1">
        <f t="array" aca="1" ref="I43" ca="1">_FV(A43,"Shares outstanding",TRUE)</f>
        <v>905838600</v>
      </c>
      <c r="J43" s="32" cm="1">
        <f t="array" aca="1" ref="J43" ca="1">_FV(A43,"Beta")</f>
        <v>0.40860000000000002</v>
      </c>
    </row>
    <row r="44" spans="1:10" x14ac:dyDescent="0.3">
      <c r="A44" t="e" vm="112">
        <v>#VALUE!</v>
      </c>
      <c r="B44" s="77" cm="1">
        <f t="array" aca="1" ref="B44" ca="1">_FV(A44,"Price")</f>
        <v>165.94</v>
      </c>
      <c r="C44" s="78" cm="1">
        <f t="array" aca="1" ref="C44" ca="1">_FV(A44,"Market cap",TRUE)</f>
        <v>226781735060</v>
      </c>
      <c r="D44" s="68" cm="1">
        <f t="array" aca="1" ref="D44" ca="1">_FV(A44,"Change (%)",TRUE)</f>
        <v>-7.5360000000000002E-3</v>
      </c>
      <c r="E44" t="str" cm="1">
        <f t="array" aca="1" ref="E44" ca="1">_FV(A44,"Industry")</f>
        <v>Beverages</v>
      </c>
      <c r="F44" t="s">
        <v>15</v>
      </c>
      <c r="G44" t="str" cm="1">
        <f t="array" aca="1" ref="G44" ca="1">_FV(A44,"Ticker symbol",TRUE)</f>
        <v>PEP</v>
      </c>
      <c r="H44" s="32" cm="1">
        <f t="array" aca="1" ref="H44" ca="1">IFERROR(_FV(A44,"P/E",TRUE),0)</f>
        <v>27.8599</v>
      </c>
      <c r="I44" s="34" cm="1">
        <f t="array" aca="1" ref="I44" ca="1">_FV(A44,"Shares outstanding",TRUE)</f>
        <v>1366649000</v>
      </c>
      <c r="J44" s="32" cm="1">
        <f t="array" aca="1" ref="J44" ca="1">_FV(A44,"Beta")</f>
        <v>0.39650000000000002</v>
      </c>
    </row>
    <row r="45" spans="1:10" x14ac:dyDescent="0.3">
      <c r="A45" t="e" vm="113">
        <v>#VALUE!</v>
      </c>
      <c r="B45" s="77" cm="1">
        <f t="array" aca="1" ref="B45" ca="1">_FV(A45,"Price")</f>
        <v>1040.45</v>
      </c>
      <c r="C45" s="78" cm="1">
        <f t="array" aca="1" ref="C45" ca="1">_FV(A45,"Market cap",TRUE)</f>
        <v>981516206830</v>
      </c>
      <c r="D45" s="68" cm="1">
        <f t="array" aca="1" ref="D45" ca="1">_FV(A45,"Change (%)",TRUE)</f>
        <v>3.7719999999999997E-3</v>
      </c>
      <c r="E45" t="str" cm="1">
        <f t="array" aca="1" ref="E45" ca="1">_FV(A45,"Industry")</f>
        <v>Pharmaceuticals</v>
      </c>
      <c r="F45" t="s">
        <v>16</v>
      </c>
      <c r="G45" t="str" cm="1">
        <f t="array" aca="1" ref="G45" ca="1">_FV(A45,"Ticker symbol",TRUE)</f>
        <v>LLY</v>
      </c>
      <c r="H45" s="32" cm="1">
        <f t="array" aca="1" ref="H45" ca="1">IFERROR(_FV(A45,"P/E",TRUE),0)</f>
        <v>45.154299999999999</v>
      </c>
      <c r="I45" s="34" cm="1">
        <f t="array" aca="1" ref="I45" ca="1">_FV(A45,"Shares outstanding",TRUE)</f>
        <v>943357400</v>
      </c>
      <c r="J45" s="32" cm="1">
        <f t="array" aca="1" ref="J45" ca="1">_FV(A45,"Beta")</f>
        <v>0.39810000000000001</v>
      </c>
    </row>
    <row r="46" spans="1:10" x14ac:dyDescent="0.3">
      <c r="A46" t="e" vm="114">
        <v>#VALUE!</v>
      </c>
      <c r="B46" s="77" cm="1">
        <f t="array" aca="1" ref="B46" ca="1">_FV(A46,"Price")</f>
        <v>148.37</v>
      </c>
      <c r="C46" s="78" cm="1">
        <f t="array" aca="1" ref="C46" ca="1">_FV(A46,"Market cap",TRUE)</f>
        <v>620038230000</v>
      </c>
      <c r="D46" s="68" cm="1">
        <f t="array" aca="1" ref="D46" ca="1">_FV(A46,"Change (%)",TRUE)</f>
        <v>-1.0404999999999999E-2</v>
      </c>
      <c r="E46" t="str" cm="1">
        <f t="array" aca="1" ref="E46" ca="1">_FV(A46,"Industry")</f>
        <v>Oil &amp; Gas</v>
      </c>
      <c r="F46" t="s">
        <v>17</v>
      </c>
      <c r="G46" t="str" cm="1">
        <f t="array" aca="1" ref="G46" ca="1">_FV(A46,"Ticker symbol",TRUE)</f>
        <v>XOM</v>
      </c>
      <c r="H46" s="32" cm="1">
        <f t="array" aca="1" ref="H46" ca="1">IFERROR(_FV(A46,"P/E",TRUE),0)</f>
        <v>22.3949</v>
      </c>
      <c r="I46" s="34" cm="1">
        <f t="array" aca="1" ref="I46" ca="1">_FV(A46,"Shares outstanding",TRUE)</f>
        <v>4179000000</v>
      </c>
      <c r="J46" s="32" cm="1">
        <f t="array" aca="1" ref="J46" ca="1">_FV(A46,"Beta")</f>
        <v>0.34970000000000001</v>
      </c>
    </row>
    <row r="47" spans="1:10" x14ac:dyDescent="0.3">
      <c r="A47" t="e" vm="115">
        <v>#VALUE!</v>
      </c>
      <c r="B47" s="77" cm="1">
        <f t="array" aca="1" ref="B47" ca="1">_FV(A47,"Price")</f>
        <v>28.69</v>
      </c>
      <c r="C47" s="78" cm="1">
        <f t="array" aca="1" ref="C47" ca="1">_FV(A47,"Market cap",TRUE)</f>
        <v>200846554130</v>
      </c>
      <c r="D47" s="68" cm="1">
        <f t="array" aca="1" ref="D47" ca="1">_FV(A47,"Change (%)",TRUE)</f>
        <v>-3.8190000000000003E-3</v>
      </c>
      <c r="E47" t="str" cm="1">
        <f t="array" aca="1" ref="E47" ca="1">_FV(A47,"Industry")</f>
        <v>Telecommunications Services</v>
      </c>
      <c r="F47" t="s">
        <v>143</v>
      </c>
      <c r="G47" t="str" cm="1">
        <f t="array" aca="1" ref="G47" ca="1">_FV(A47,"Ticker symbol",TRUE)</f>
        <v>T</v>
      </c>
      <c r="H47" s="32" cm="1">
        <f t="array" aca="1" ref="H47" ca="1">IFERROR(_FV(A47,"P/E",TRUE),0)</f>
        <v>9.4390000000000001</v>
      </c>
      <c r="I47" s="34" cm="1">
        <f t="array" aca="1" ref="I47" ca="1">_FV(A47,"Shares outstanding",TRUE)</f>
        <v>7000577000</v>
      </c>
      <c r="J47" s="32" cm="1">
        <f t="array" aca="1" ref="J47" ca="1">_FV(A47,"Beta")</f>
        <v>0.35499999999999998</v>
      </c>
    </row>
    <row r="48" spans="1:10" x14ac:dyDescent="0.3">
      <c r="A48" t="e" vm="116">
        <v>#VALUE!</v>
      </c>
      <c r="B48" s="77" cm="1">
        <f t="array" aca="1" ref="B48" ca="1">_FV(A48,"Price")</f>
        <v>78.67</v>
      </c>
      <c r="C48" s="78" cm="1">
        <f t="array" aca="1" ref="C48" ca="1">_FV(A48,"Market cap",TRUE)</f>
        <v>338407580030</v>
      </c>
      <c r="D48" s="68" cm="1">
        <f t="array" aca="1" ref="D48" ca="1">_FV(A48,"Change (%)",TRUE)</f>
        <v>-4.1770000000000002E-3</v>
      </c>
      <c r="E48" t="str" cm="1">
        <f t="array" aca="1" ref="E48" ca="1">_FV(A48,"Industry")</f>
        <v>Beverages</v>
      </c>
      <c r="F48" t="s">
        <v>15</v>
      </c>
      <c r="G48" t="str" cm="1">
        <f t="array" aca="1" ref="G48" ca="1">_FV(A48,"Ticker symbol",TRUE)</f>
        <v>KO</v>
      </c>
      <c r="H48" s="32" cm="1">
        <f t="array" aca="1" ref="H48" ca="1">IFERROR(_FV(A48,"P/E",TRUE),0)</f>
        <v>25.995799999999999</v>
      </c>
      <c r="I48" s="34" cm="1">
        <f t="array" aca="1" ref="I48" ca="1">_FV(A48,"Shares outstanding",TRUE)</f>
        <v>4301609000</v>
      </c>
      <c r="J48" s="32" cm="1">
        <f t="array" aca="1" ref="J48" ca="1">_FV(A48,"Beta")</f>
        <v>0.3518</v>
      </c>
    </row>
    <row r="49" spans="1:10" x14ac:dyDescent="0.3">
      <c r="A49" t="e" vm="117">
        <v>#VALUE!</v>
      </c>
      <c r="B49" s="77" cm="1">
        <f t="array" aca="1" ref="B49" ca="1">_FV(A49,"Price")</f>
        <v>231.6</v>
      </c>
      <c r="C49" s="78" cm="1">
        <f t="array" aca="1" ref="C49" ca="1">_FV(A49,"Market cap",TRUE)</f>
        <v>409326366000</v>
      </c>
      <c r="D49" s="68" cm="1">
        <f t="array" aca="1" ref="D49" ca="1">_FV(A49,"Change (%)",TRUE)</f>
        <v>1.8022E-2</v>
      </c>
      <c r="E49" t="str" cm="1">
        <f t="array" aca="1" ref="E49" ca="1">_FV(A49,"Industry")</f>
        <v>Pharmaceuticals</v>
      </c>
      <c r="F49" t="s">
        <v>16</v>
      </c>
      <c r="G49" t="str" cm="1">
        <f t="array" aca="1" ref="G49" ca="1">_FV(A49,"Ticker symbol",TRUE)</f>
        <v>ABBV</v>
      </c>
      <c r="H49" s="32" cm="1">
        <f t="array" aca="1" ref="H49" ca="1">IFERROR(_FV(A49,"P/E",TRUE),0)</f>
        <v>96.259200000000007</v>
      </c>
      <c r="I49" s="34" cm="1">
        <f t="array" aca="1" ref="I49" ca="1">_FV(A49,"Shares outstanding",TRUE)</f>
        <v>1767385000</v>
      </c>
      <c r="J49" s="32" cm="1">
        <f t="array" aca="1" ref="J49" ca="1">_FV(A49,"Beta")</f>
        <v>0.32679999999999998</v>
      </c>
    </row>
    <row r="50" spans="1:10" x14ac:dyDescent="0.3">
      <c r="A50" t="e" vm="118">
        <v>#VALUE!</v>
      </c>
      <c r="B50" s="77" cm="1">
        <f t="array" aca="1" ref="B50" ca="1">_FV(A50,"Price")</f>
        <v>49.01</v>
      </c>
      <c r="C50" s="78" cm="1">
        <f t="array" aca="1" ref="C50" ca="1">_FV(A50,"Market cap",TRUE)</f>
        <v>206675170000</v>
      </c>
      <c r="D50" s="68" cm="1">
        <f t="array" aca="1" ref="D50" ca="1">_FV(A50,"Change (%)",TRUE)</f>
        <v>-9.0980000000000002E-3</v>
      </c>
      <c r="E50" t="str" cm="1">
        <f t="array" aca="1" ref="E50" ca="1">_FV(A50,"Industry")</f>
        <v>Telecommunications Services</v>
      </c>
      <c r="F50" t="s">
        <v>143</v>
      </c>
      <c r="G50" t="str" cm="1">
        <f t="array" aca="1" ref="G50" ca="1">_FV(A50,"Ticker symbol",TRUE)</f>
        <v>VZ</v>
      </c>
      <c r="H50" s="32" cm="1">
        <f t="array" aca="1" ref="H50" ca="1">IFERROR(_FV(A50,"P/E",TRUE),0)</f>
        <v>12.182</v>
      </c>
      <c r="I50" s="34" cm="1">
        <f t="array" aca="1" ref="I50" ca="1">_FV(A50,"Shares outstanding",TRUE)</f>
        <v>4217000000</v>
      </c>
      <c r="J50" s="32" cm="1">
        <f t="array" aca="1" ref="J50" ca="1">_FV(A50,"Beta")</f>
        <v>0.29149999999999998</v>
      </c>
    </row>
    <row r="51" spans="1:10" x14ac:dyDescent="0.3">
      <c r="A51" t="e" vm="119">
        <v>#VALUE!</v>
      </c>
      <c r="B51" s="77" cm="1">
        <f t="array" aca="1" ref="B51" ca="1">_FV(A51,"Price")</f>
        <v>121.41</v>
      </c>
      <c r="C51" s="78" cm="1">
        <f t="array" aca="1" ref="C51" ca="1">_FV(A51,"Market cap",TRUE)</f>
        <v>301342291020</v>
      </c>
      <c r="D51" s="68" cm="1">
        <f t="array" aca="1" ref="D51" ca="1">_FV(A51,"Change (%)",TRUE)</f>
        <v>1.8199E-2</v>
      </c>
      <c r="E51" t="str" cm="1">
        <f t="array" aca="1" ref="E51" ca="1">_FV(A51,"Industry")</f>
        <v>Pharmaceuticals</v>
      </c>
      <c r="F51" t="s">
        <v>16</v>
      </c>
      <c r="G51" t="str" cm="1">
        <f t="array" aca="1" ref="G51" ca="1">_FV(A51,"Ticker symbol",TRUE)</f>
        <v>MRK</v>
      </c>
      <c r="H51" s="32" cm="1">
        <f t="array" aca="1" ref="H51" ca="1">IFERROR(_FV(A51,"P/E",TRUE),0)</f>
        <v>16.3901</v>
      </c>
      <c r="I51" s="34" cm="1">
        <f t="array" aca="1" ref="I51" ca="1">_FV(A51,"Shares outstanding",TRUE)</f>
        <v>2482022000</v>
      </c>
      <c r="J51" s="32" cm="1">
        <f t="array" aca="1" ref="J51" ca="1">_FV(A51,"Beta")</f>
        <v>0.2792</v>
      </c>
    </row>
    <row r="52" spans="1:10" x14ac:dyDescent="0.3">
      <c r="A52" t="e" vm="120">
        <v>#VALUE!</v>
      </c>
      <c r="B52" s="77" cm="1">
        <f t="array" aca="1" ref="B52" ca="1">_FV(A52,"Price")</f>
        <v>10.89</v>
      </c>
      <c r="C52" s="78" cm="1">
        <f t="array" aca="1" ref="C52" ca="1">_FV(A52,"Market cap",TRUE)</f>
        <v>3667524399</v>
      </c>
      <c r="D52" s="68" cm="1">
        <f t="array" aca="1" ref="D52" ca="1">_FV(A52,"Change (%)",TRUE)</f>
        <v>-3.1139E-2</v>
      </c>
      <c r="E52" t="str" cm="1">
        <f t="array" aca="1" ref="E52" ca="1">_FV(A52,"Industry")</f>
        <v>Telecommunications Services</v>
      </c>
      <c r="F52" t="s">
        <v>143</v>
      </c>
      <c r="G52" t="str" cm="1">
        <f t="array" aca="1" ref="G52" ca="1">_FV(A52,"Ticker symbol",TRUE)</f>
        <v>LBTYA</v>
      </c>
      <c r="H52" s="32" cm="1">
        <f t="array" aca="1" ref="H52" ca="1">IFERROR(_FV(A52,"P/E",TRUE),0)</f>
        <v>0</v>
      </c>
      <c r="I52" s="34" cm="1">
        <f t="array" aca="1" ref="I52" ca="1">_FV(A52,"Shares outstanding",TRUE)</f>
        <v>336779100</v>
      </c>
      <c r="J52" s="32" cm="1">
        <f t="array" aca="1" ref="J52" ca="1">_FV(A52,"Beta")</f>
        <v>1.1156999999999999</v>
      </c>
    </row>
  </sheetData>
  <autoFilter ref="A1:J51" xr:uid="{00000000-0001-0000-1B00-000000000000}">
    <sortState xmlns:xlrd2="http://schemas.microsoft.com/office/spreadsheetml/2017/richdata2" ref="A2:J51">
      <sortCondition descending="1" ref="J1:J51"/>
    </sortState>
  </autoFilter>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6CAC-AC44-4867-801F-AE5557AED56B}">
  <dimension ref="A1:D12"/>
  <sheetViews>
    <sheetView topLeftCell="A10" workbookViewId="0">
      <selection activeCell="C1" sqref="C1"/>
    </sheetView>
  </sheetViews>
  <sheetFormatPr defaultRowHeight="14.4" x14ac:dyDescent="0.3"/>
  <cols>
    <col min="1" max="1" width="22.109375" bestFit="1" customWidth="1"/>
    <col min="2" max="2" width="24.6640625" bestFit="1" customWidth="1"/>
    <col min="3" max="3" width="22.6640625" bestFit="1" customWidth="1"/>
    <col min="4" max="4" width="109.6640625" bestFit="1" customWidth="1"/>
  </cols>
  <sheetData>
    <row r="1" spans="1:4" x14ac:dyDescent="0.3">
      <c r="A1" s="37" t="s">
        <v>7</v>
      </c>
      <c r="B1" s="37" t="s">
        <v>233</v>
      </c>
      <c r="C1" s="37" t="s">
        <v>234</v>
      </c>
      <c r="D1" s="37" t="s">
        <v>235</v>
      </c>
    </row>
    <row r="2" spans="1:4" x14ac:dyDescent="0.3">
      <c r="A2" s="93" t="s">
        <v>12</v>
      </c>
      <c r="B2" s="93">
        <v>3.76</v>
      </c>
      <c r="C2" s="94">
        <v>5.23</v>
      </c>
      <c r="D2" s="93" t="s">
        <v>236</v>
      </c>
    </row>
    <row r="3" spans="1:4" x14ac:dyDescent="0.3">
      <c r="A3" s="93" t="s">
        <v>17</v>
      </c>
      <c r="B3" s="93">
        <v>3.66</v>
      </c>
      <c r="C3" s="94">
        <v>4.08</v>
      </c>
      <c r="D3" s="93" t="s">
        <v>238</v>
      </c>
    </row>
    <row r="4" spans="1:4" x14ac:dyDescent="0.3">
      <c r="A4" s="93" t="s">
        <v>13</v>
      </c>
      <c r="B4" s="93">
        <v>3.54</v>
      </c>
      <c r="C4" s="94">
        <v>3.2</v>
      </c>
      <c r="D4" s="93" t="s">
        <v>237</v>
      </c>
    </row>
    <row r="5" spans="1:4" x14ac:dyDescent="0.3">
      <c r="A5" s="93" t="s">
        <v>246</v>
      </c>
      <c r="B5" s="93">
        <v>3.38</v>
      </c>
      <c r="C5" s="94">
        <v>-1.52</v>
      </c>
      <c r="D5" s="93" t="s">
        <v>247</v>
      </c>
    </row>
    <row r="6" spans="1:4" x14ac:dyDescent="0.3">
      <c r="A6" s="93" t="s">
        <v>9</v>
      </c>
      <c r="B6" s="93">
        <v>3.34</v>
      </c>
      <c r="C6" s="94">
        <v>0.27</v>
      </c>
      <c r="D6" s="93" t="s">
        <v>245</v>
      </c>
    </row>
    <row r="7" spans="1:4" x14ac:dyDescent="0.3">
      <c r="A7" s="93" t="s">
        <v>239</v>
      </c>
      <c r="B7" s="93">
        <v>3.2</v>
      </c>
      <c r="C7" s="94">
        <v>2.52</v>
      </c>
      <c r="D7" s="93" t="s">
        <v>240</v>
      </c>
    </row>
    <row r="8" spans="1:4" x14ac:dyDescent="0.3">
      <c r="A8" s="93" t="s">
        <v>241</v>
      </c>
      <c r="B8" s="93">
        <v>3.15</v>
      </c>
      <c r="C8" s="94">
        <v>2.91</v>
      </c>
      <c r="D8" s="93" t="s">
        <v>242</v>
      </c>
    </row>
    <row r="9" spans="1:4" x14ac:dyDescent="0.3">
      <c r="A9" s="93" t="s">
        <v>14</v>
      </c>
      <c r="B9" s="93">
        <v>2.88</v>
      </c>
      <c r="C9" s="94">
        <v>0.67</v>
      </c>
      <c r="D9" s="93" t="s">
        <v>244</v>
      </c>
    </row>
    <row r="10" spans="1:4" x14ac:dyDescent="0.3">
      <c r="A10" s="93" t="s">
        <v>19</v>
      </c>
      <c r="B10" s="93">
        <v>2.85</v>
      </c>
      <c r="C10" s="94">
        <v>3.22</v>
      </c>
      <c r="D10" s="93" t="s">
        <v>243</v>
      </c>
    </row>
    <row r="11" spans="1:4" x14ac:dyDescent="0.3">
      <c r="A11" s="93" t="s">
        <v>250</v>
      </c>
      <c r="B11" s="93">
        <v>2.81</v>
      </c>
      <c r="C11" s="94">
        <v>-1.67</v>
      </c>
      <c r="D11" s="93" t="s">
        <v>251</v>
      </c>
    </row>
    <row r="12" spans="1:4" x14ac:dyDescent="0.3">
      <c r="A12" s="93" t="s">
        <v>248</v>
      </c>
      <c r="B12" s="93">
        <v>2.79</v>
      </c>
      <c r="C12" s="94">
        <v>-0.96</v>
      </c>
      <c r="D12" s="93" t="s">
        <v>249</v>
      </c>
    </row>
  </sheetData>
  <autoFilter ref="A1:D12" xr:uid="{BF8D6CAC-AC44-4867-801F-AE5557AED56B}">
    <sortState xmlns:xlrd2="http://schemas.microsoft.com/office/spreadsheetml/2017/richdata2" ref="A2:D12">
      <sortCondition descending="1" ref="B1:B12"/>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28</vt:i4>
      </vt:variant>
    </vt:vector>
  </HeadingPairs>
  <TitlesOfParts>
    <vt:vector size="28" baseType="lpstr">
      <vt:lpstr>Stock</vt:lpstr>
      <vt:lpstr>Ranglisten DK</vt:lpstr>
      <vt:lpstr>Ranglisten EU</vt:lpstr>
      <vt:lpstr>Ranglisten USA</vt:lpstr>
      <vt:lpstr>Risikoprofiler -&gt; </vt:lpstr>
      <vt:lpstr> Profil</vt:lpstr>
      <vt:lpstr>Spørgeskema</vt:lpstr>
      <vt:lpstr>Profiler</vt:lpstr>
      <vt:lpstr>Markoscore -&gt;</vt:lpstr>
      <vt:lpstr>Fremtid vækst</vt:lpstr>
      <vt:lpstr>Makro analyse</vt:lpstr>
      <vt:lpstr>Makro analyse (historisk)</vt:lpstr>
      <vt:lpstr>BNP</vt:lpstr>
      <vt:lpstr>Makrodata -&gt;</vt:lpstr>
      <vt:lpstr>PMI</vt:lpstr>
      <vt:lpstr>10 yr rate</vt:lpstr>
      <vt:lpstr>CPI(Inflation)</vt:lpstr>
      <vt:lpstr>Arbejdsløshed</vt:lpstr>
      <vt:lpstr>Baltic Dry Index</vt:lpstr>
      <vt:lpstr>VIX</vt:lpstr>
      <vt:lpstr>Currency</vt:lpstr>
      <vt:lpstr>Unemployment</vt:lpstr>
      <vt:lpstr>Aktieliste -&gt;</vt:lpstr>
      <vt:lpstr>ETF - Liste</vt:lpstr>
      <vt:lpstr>Aktieliste DK</vt:lpstr>
      <vt:lpstr>Aktieliste EU</vt:lpstr>
      <vt:lpstr>Aktieliste USA</vt:lpstr>
      <vt:lpstr>Afstemning til Virkelighed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Teglstrup Hyldgaard</dc:creator>
  <cp:lastModifiedBy>Anton Teglstrup Hyldgaard</cp:lastModifiedBy>
  <cp:lastPrinted>2025-07-23T08:29:57Z</cp:lastPrinted>
  <dcterms:created xsi:type="dcterms:W3CDTF">2025-07-15T16:47:24Z</dcterms:created>
  <dcterms:modified xsi:type="dcterms:W3CDTF">2026-02-16T07:23:03Z</dcterms:modified>
</cp:coreProperties>
</file>